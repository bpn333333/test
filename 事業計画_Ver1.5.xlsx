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5年計画サマリー（Ver1.5）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'損益計算書'!C29</f>
        <v/>
      </c>
      <c r="D9" s="6">
        <f>'損益計算書'!D29</f>
        <v/>
      </c>
      <c r="E9" s="6">
        <f>'損益計算書'!E29</f>
        <v/>
      </c>
      <c r="F9" s="6">
        <f>'損益計算書'!F29</f>
        <v/>
      </c>
      <c r="G9" s="6">
        <f>'損益計算書'!G29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'損益計算書'!C30</f>
        <v/>
      </c>
      <c r="D10" s="9">
        <f>'損益計算書'!D30</f>
        <v/>
      </c>
      <c r="E10" s="9">
        <f>'損益計算書'!E30</f>
        <v/>
      </c>
      <c r="F10" s="9">
        <f>'損益計算書'!F30</f>
        <v/>
      </c>
      <c r="G10" s="9">
        <f>'損益計算書'!G30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'損益計算書'!C33</f>
        <v/>
      </c>
      <c r="D13" s="8">
        <f>'損益計算書'!D33</f>
        <v/>
      </c>
      <c r="E13" s="8">
        <f>'損益計算書'!E33</f>
        <v/>
      </c>
      <c r="F13" s="8">
        <f>'損益計算書'!F33</f>
        <v/>
      </c>
      <c r="G13" s="8">
        <f>'損益計算書'!G33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'損益計算書'!C34</f>
        <v/>
      </c>
      <c r="D14" s="6">
        <f>'損益計算書'!D34</f>
        <v/>
      </c>
      <c r="E14" s="6">
        <f>'損益計算書'!E34</f>
        <v/>
      </c>
      <c r="F14" s="6">
        <f>'損益計算書'!F34</f>
        <v/>
      </c>
      <c r="G14" s="6">
        <f>'損益計算書'!G34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'損益計算書'!C37</f>
        <v/>
      </c>
      <c r="D15" s="9">
        <f>'損益計算書'!D37</f>
        <v/>
      </c>
      <c r="E15" s="9">
        <f>'損益計算書'!E37</f>
        <v/>
      </c>
      <c r="F15" s="9">
        <f>'損益計算書'!F37</f>
        <v/>
      </c>
      <c r="G15" s="9">
        <f>'損益計算書'!G37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'損益計算書'!C35</f>
        <v/>
      </c>
      <c r="D16" s="10">
        <f>'損益計算書'!D35</f>
        <v/>
      </c>
      <c r="E16" s="10">
        <f>'損益計算書'!E35</f>
        <v/>
      </c>
      <c r="F16" s="10">
        <f>'損益計算書'!F35</f>
        <v/>
      </c>
      <c r="G16" s="10">
        <f>'損益計算書'!G35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'損益計算書'!C38</f>
        <v/>
      </c>
      <c r="D18" s="8">
        <f>'損益計算書'!D38</f>
        <v/>
      </c>
      <c r="E18" s="8">
        <f>'損益計算書'!E38</f>
        <v/>
      </c>
      <c r="F18" s="8">
        <f>'損益計算書'!F38</f>
        <v/>
      </c>
      <c r="G18" s="8">
        <f>'損益計算書'!G38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下限はクリエイターの留保価格（標準工数×時給÷(1−手数料)）。上限は日本の発注者の支払意思。工数は旧maxを標準に置き直した（ミニマムの見立てが甘かったため）。★上限・工数・件数は提案値。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上限（需要）</t>
        </is>
      </c>
      <c r="G3" s="3" t="inlineStr">
        <is>
          <t>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ROUNDUP('クリエイター経済'!$B$10*D5/(1-$B$26)/500,0)*500</f>
        <v/>
      </c>
      <c r="F5" s="18" t="n">
        <v>10000</v>
      </c>
      <c r="G5" s="6">
        <f>(E5+F5)/2</f>
        <v/>
      </c>
      <c r="H5" s="18" t="n">
        <v>25000</v>
      </c>
      <c r="I5" s="8">
        <f>D5*H5</f>
        <v/>
      </c>
      <c r="J5" s="29">
        <f>G5*H5/1000000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ROUNDUP('クリエイター経済'!$B$10*D6/(1-$B$26)/500,0)*500</f>
        <v/>
      </c>
      <c r="F6" s="18" t="n">
        <v>15000</v>
      </c>
      <c r="G6" s="6">
        <f>(E6+F6)/2</f>
        <v/>
      </c>
      <c r="H6" s="18" t="n">
        <v>12000</v>
      </c>
      <c r="I6" s="8">
        <f>D6*H6</f>
        <v/>
      </c>
      <c r="J6" s="29">
        <f>G6*H6/1000000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ROUNDUP('クリエイター経済'!$B$10*D7/(1-$B$26)/500,0)*500</f>
        <v/>
      </c>
      <c r="F7" s="18" t="n">
        <v>18000</v>
      </c>
      <c r="G7" s="6">
        <f>(E7+F7)/2</f>
        <v/>
      </c>
      <c r="H7" s="18" t="n">
        <v>8000</v>
      </c>
      <c r="I7" s="8">
        <f>D7*H7</f>
        <v/>
      </c>
      <c r="J7" s="29">
        <f>G7*H7/1000000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ROUNDUP('クリエイター経済'!$B$10*D8/(1-$B$26)/500,0)*500</f>
        <v/>
      </c>
      <c r="F8" s="18" t="n">
        <v>30000</v>
      </c>
      <c r="G8" s="6">
        <f>(E8+F8)/2</f>
        <v/>
      </c>
      <c r="H8" s="18" t="n">
        <v>10000</v>
      </c>
      <c r="I8" s="8">
        <f>D8*H8</f>
        <v/>
      </c>
      <c r="J8" s="29">
        <f>G8*H8/1000000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ROUNDUP('クリエイター経済'!$B$10*D9/(1-$B$26)/500,0)*500</f>
        <v/>
      </c>
      <c r="F9" s="18" t="n">
        <v>50000</v>
      </c>
      <c r="G9" s="6">
        <f>(E9+F9)/2</f>
        <v/>
      </c>
      <c r="H9" s="18" t="n">
        <v>6000</v>
      </c>
      <c r="I9" s="8">
        <f>D9*H9</f>
        <v/>
      </c>
      <c r="J9" s="29">
        <f>G9*H9/1000000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ROUNDUP('クリエイター経済'!$B$10*D10/(1-$B$26)/500,0)*500</f>
        <v/>
      </c>
      <c r="F10" s="18" t="n">
        <v>80000</v>
      </c>
      <c r="G10" s="6">
        <f>(E10+F10)/2</f>
        <v/>
      </c>
      <c r="H10" s="18" t="n">
        <v>9000</v>
      </c>
      <c r="I10" s="8">
        <f>D10*H10</f>
        <v/>
      </c>
      <c r="J10" s="29">
        <f>G10*H10/1000000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ROUNDUP('クリエイター経済'!$B$10*D11/(1-$B$26)/500,0)*500</f>
        <v/>
      </c>
      <c r="F11" s="18" t="n">
        <v>120000</v>
      </c>
      <c r="G11" s="6">
        <f>(E11+F11)/2</f>
        <v/>
      </c>
      <c r="H11" s="18" t="n">
        <v>4000</v>
      </c>
      <c r="I11" s="8">
        <f>D11*H11</f>
        <v/>
      </c>
      <c r="J11" s="29">
        <f>G11*H11/1000000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ROUNDUP('クリエイター経済'!$B$10*D12/(1-$B$26)/500,0)*500</f>
        <v/>
      </c>
      <c r="F12" s="18" t="n">
        <v>180000</v>
      </c>
      <c r="G12" s="6">
        <f>(E12+F12)/2</f>
        <v/>
      </c>
      <c r="H12" s="18" t="n">
        <v>2500</v>
      </c>
      <c r="I12" s="8">
        <f>D12*H12</f>
        <v/>
      </c>
      <c r="J12" s="29">
        <f>G12*H12/1000000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ROUNDUP('クリエイター経済'!$B$10*D13/(1-$B$26)/500,0)*500</f>
        <v/>
      </c>
      <c r="F13" s="18" t="n">
        <v>150000</v>
      </c>
      <c r="G13" s="6">
        <f>(E13+F13)/2</f>
        <v/>
      </c>
      <c r="H13" s="18" t="n">
        <v>5000</v>
      </c>
      <c r="I13" s="8">
        <f>D13*H13</f>
        <v/>
      </c>
      <c r="J13" s="29">
        <f>G13*H13/1000000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ROUNDUP('クリエイター経済'!$B$10*D14/(1-$B$26)/500,0)*500</f>
        <v/>
      </c>
      <c r="F14" s="18" t="n">
        <v>100000</v>
      </c>
      <c r="G14" s="6">
        <f>(E14+F14)/2</f>
        <v/>
      </c>
      <c r="H14" s="18" t="n">
        <v>3500</v>
      </c>
      <c r="I14" s="8">
        <f>D14*H14</f>
        <v/>
      </c>
      <c r="J14" s="29">
        <f>G14*H14/1000000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ROUNDUP('クリエイター経済'!$B$10*D15/(1-$B$26)/500,0)*500</f>
        <v/>
      </c>
      <c r="F15" s="18" t="n">
        <v>80000</v>
      </c>
      <c r="G15" s="6">
        <f>(E15+F15)/2</f>
        <v/>
      </c>
      <c r="H15" s="18" t="n">
        <v>2000</v>
      </c>
      <c r="I15" s="8">
        <f>D15*H15</f>
        <v/>
      </c>
      <c r="J15" s="29">
        <f>G15*H15/1000000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ROUNDUP('クリエイター経済'!$B$10*D16/(1-$B$26)/500,0)*500</f>
        <v/>
      </c>
      <c r="F16" s="18" t="n">
        <v>120000</v>
      </c>
      <c r="G16" s="6">
        <f>(E16+F16)/2</f>
        <v/>
      </c>
      <c r="H16" s="18" t="n">
        <v>6000</v>
      </c>
      <c r="I16" s="8">
        <f>D16*H16</f>
        <v/>
      </c>
      <c r="J16" s="29">
        <f>G16*H16/1000000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ROUNDUP('クリエイター経済'!$B$10*D17/(1-$B$26)/500,0)*500</f>
        <v/>
      </c>
      <c r="F17" s="18" t="n">
        <v>150000</v>
      </c>
      <c r="G17" s="6">
        <f>(E17+F17)/2</f>
        <v/>
      </c>
      <c r="H17" s="18" t="n">
        <v>8000</v>
      </c>
      <c r="I17" s="8">
        <f>D17*H17</f>
        <v/>
      </c>
      <c r="J17" s="29">
        <f>G17*H17/1000000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ROUNDUP('クリエイター経済'!$B$10*D18/(1-$B$26)/500,0)*500</f>
        <v/>
      </c>
      <c r="F18" s="18" t="n">
        <v>1000000</v>
      </c>
      <c r="G18" s="6">
        <f>(E18+F18)/2</f>
        <v/>
      </c>
      <c r="H18" s="18" t="n">
        <v>12000</v>
      </c>
      <c r="I18" s="8">
        <f>D18*H18</f>
        <v/>
      </c>
      <c r="J18" s="29">
        <f>G18*H18/1000000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5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5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5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5">
      <c r="A45" s="36" t="inlineStr">
        <is>
          <t>成約が価格帯のどこに落ちるかで③は3倍動く。ここは中点（均等）を採用している（松田さん決定）。下限寄りに寄ると小さくなる。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18" t="n">
        <v>950</v>
      </c>
      <c r="C5" s="18" t="n">
        <v>1</v>
      </c>
      <c r="D5" s="18" t="n">
        <v>2</v>
      </c>
      <c r="E5" s="18" t="n">
        <v>4</v>
      </c>
      <c r="F5" s="18" t="n">
        <v>6</v>
      </c>
      <c r="G5" s="18" t="n">
        <v>8</v>
      </c>
      <c r="H5" s="7" t="inlineStr">
        <is>
          <t>オフショアチームを率いる。開発者は社員で抱えない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1</v>
      </c>
      <c r="F9" s="18" t="n">
        <v>2</v>
      </c>
      <c r="G9" s="18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中国クリエイター（登録・人）</t>
        </is>
      </c>
      <c r="G17" s="37">
        <f>'クリエイター経済'!B18</f>
        <v/>
      </c>
      <c r="H17" s="7" t="inlineStr">
        <is>
          <t>クリエイター経済シート。①③の合計</t>
        </is>
      </c>
    </row>
    <row r="19">
      <c r="A19" s="12" t="inlineStr">
        <is>
          <t>オフショア開発（業務委託）</t>
        </is>
      </c>
    </row>
    <row r="20" ht="24" customHeight="1">
      <c r="A20" s="3" t="inlineStr">
        <is>
          <t>項目</t>
        </is>
      </c>
      <c r="B20" s="3" t="inlineStr">
        <is>
          <t>値</t>
        </is>
      </c>
      <c r="C20" s="3" t="inlineStr">
        <is>
          <t>単位</t>
        </is>
      </c>
      <c r="D20" s="3" t="inlineStr"/>
      <c r="E20" s="3" t="inlineStr"/>
      <c r="F20" s="3" t="inlineStr"/>
      <c r="G20" s="3" t="inlineStr"/>
      <c r="H20" s="3" t="inlineStr">
        <is>
          <t>出所</t>
        </is>
      </c>
    </row>
    <row r="21">
      <c r="A21" s="5" t="inlineStr">
        <is>
          <t>ベトナム（シニア）</t>
        </is>
      </c>
      <c r="B21" s="25" t="n">
        <v>50</v>
      </c>
      <c r="C21" s="16" t="inlineStr">
        <is>
          <t>万円/月</t>
        </is>
      </c>
      <c r="H21" s="7" t="inlineStr">
        <is>
          <t>オフショア開発.com 2026（実測）</t>
        </is>
      </c>
    </row>
    <row r="22">
      <c r="A22" s="5" t="inlineStr">
        <is>
          <t>中国（シニア）</t>
        </is>
      </c>
      <c r="B22" s="25" t="n">
        <v>71.7</v>
      </c>
      <c r="C22" s="16" t="inlineStr">
        <is>
          <t>万円/月</t>
        </is>
      </c>
      <c r="H22" s="7" t="inlineStr">
        <is>
          <t>同上。★オフショア先で最も高い</t>
        </is>
      </c>
    </row>
    <row r="23">
      <c r="A23" s="5" t="inlineStr">
        <is>
          <t>東欧（シニア）</t>
        </is>
      </c>
      <c r="B23" s="25" t="n">
        <v>80</v>
      </c>
      <c r="C23" s="16" t="inlineStr">
        <is>
          <t>万円/月</t>
        </is>
      </c>
      <c r="H23" s="7" t="inlineStr">
        <is>
          <t>★推定。この調査に東欧は含まれない</t>
        </is>
      </c>
    </row>
    <row r="24">
      <c r="A24" s="5" t="inlineStr">
        <is>
          <t>構成比 ベトナム</t>
        </is>
      </c>
      <c r="B24" s="19" t="n">
        <v>0.5</v>
      </c>
      <c r="C24" s="16" t="inlineStr">
        <is>
          <t>%</t>
        </is>
      </c>
      <c r="H24" s="7" t="inlineStr">
        <is>
          <t>★</t>
        </is>
      </c>
    </row>
    <row r="25">
      <c r="A25" s="5" t="inlineStr">
        <is>
          <t>構成比 中国</t>
        </is>
      </c>
      <c r="B25" s="19" t="n">
        <v>0.3</v>
      </c>
      <c r="C25" s="16" t="inlineStr">
        <is>
          <t>%</t>
        </is>
      </c>
      <c r="H25" s="7" t="inlineStr">
        <is>
          <t>★</t>
        </is>
      </c>
    </row>
    <row r="26">
      <c r="A26" s="5" t="inlineStr">
        <is>
          <t>構成比 東欧</t>
        </is>
      </c>
      <c r="B26" s="19" t="n">
        <v>0.2</v>
      </c>
      <c r="C26" s="16" t="inlineStr">
        <is>
          <t>%</t>
        </is>
      </c>
      <c r="H26" s="7" t="inlineStr">
        <is>
          <t>★</t>
        </is>
      </c>
    </row>
    <row r="27">
      <c r="A27" s="4" t="inlineStr">
        <is>
          <t>加重単価（万円/年）</t>
        </is>
      </c>
      <c r="B27" s="21">
        <f>(B21*B24+B22*B25+B23*B26)*12</f>
        <v/>
      </c>
    </row>
    <row r="28">
      <c r="A28" s="4" t="inlineStr">
        <is>
          <t>PM1名あたりのエンジニア数</t>
        </is>
      </c>
      <c r="B28" s="18" t="n">
        <v>5</v>
      </c>
      <c r="H28" s="7" t="inlineStr">
        <is>
          <t>★ブリッジはPMが兼ねる前提</t>
        </is>
      </c>
    </row>
    <row r="29">
      <c r="A29" s="36" t="inlineStr">
        <is>
          <t>⚠ 中国はオフショア先として最も高い（71.7万/月・ベトナムの1.43倍）。「中国の方が安い」のは剪辑師（月18.8万・雇用ベース）の話で、エンジニアの受託単価ではない。インド45.0／フィリピン47.5／ミャンマー40.0 の方が安い。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>
        <is>
          <t>考え方</t>
        </is>
      </c>
    </row>
    <row r="32">
      <c r="A32" s="5" t="inlineStr">
        <is>
          <t>PM（社員）</t>
        </is>
      </c>
      <c r="C32" s="8">
        <f>C5</f>
        <v/>
      </c>
      <c r="D32" s="8">
        <f>D5</f>
        <v/>
      </c>
      <c r="E32" s="8">
        <f>E5</f>
        <v/>
      </c>
      <c r="F32" s="8">
        <f>F5</f>
        <v/>
      </c>
      <c r="G32" s="8">
        <f>G5</f>
        <v/>
      </c>
    </row>
    <row r="33">
      <c r="A33" s="5" t="inlineStr">
        <is>
          <t>オフショアエンジニア（委託）</t>
        </is>
      </c>
      <c r="C33" s="8">
        <f>C32*$B$28</f>
        <v/>
      </c>
      <c r="D33" s="8">
        <f>D32*$B$28</f>
        <v/>
      </c>
      <c r="E33" s="8">
        <f>E32*$B$28</f>
        <v/>
      </c>
      <c r="F33" s="8">
        <f>F32*$B$28</f>
        <v/>
      </c>
      <c r="G33" s="8">
        <f>G32*$B$28</f>
        <v/>
      </c>
    </row>
    <row r="34">
      <c r="A34" s="4" t="inlineStr">
        <is>
          <t>開発委託費（百万円）</t>
        </is>
      </c>
      <c r="C34" s="6">
        <f>C33*$B$27/100</f>
        <v/>
      </c>
      <c r="D34" s="6">
        <f>D33*$B$27/100</f>
        <v/>
      </c>
      <c r="E34" s="6">
        <f>E33*$B$27/100</f>
        <v/>
      </c>
      <c r="F34" s="6">
        <f>F33*$B$27/100</f>
        <v/>
      </c>
      <c r="G34" s="6">
        <f>G33*$B$27/100</f>
        <v/>
      </c>
    </row>
    <row r="36">
      <c r="A36" s="2" t="inlineStr">
        <is>
          <t>旧構成はモデル開発エンジニアを社員で40名抱えていた。PM8名＋委託40名に置き換えると、社員は61名→25名。コストはほぼ変わらない（人件費が下がり委託費が上がる）。狙いはコスト削減ではなく組織の身軽さ。</t>
        </is>
      </c>
    </row>
    <row r="37">
      <c r="A37" s="36" t="inlineStr">
        <is>
          <t>⚠ 管理・コーポレート2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39">
      <c r="A39" s="12" t="inlineStr">
        <is>
          <t>社外の専門家を前提にするなら、その費用が見えている必要がある</t>
        </is>
      </c>
    </row>
    <row r="40">
      <c r="A40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1" ht="24" customHeight="1">
      <c r="A41" s="3" t="inlineStr">
        <is>
          <t>費目</t>
        </is>
      </c>
      <c r="B41" s="3" t="inlineStr">
        <is>
          <t>下限</t>
        </is>
      </c>
      <c r="C41" s="3" t="inlineStr">
        <is>
          <t>上限</t>
        </is>
      </c>
      <c r="D41" s="3" t="inlineStr"/>
      <c r="E41" s="3" t="inlineStr"/>
      <c r="F41" s="3" t="inlineStr"/>
      <c r="G41" s="3" t="inlineStr"/>
      <c r="H41" s="3" t="inlineStr">
        <is>
          <t>備考</t>
        </is>
      </c>
    </row>
    <row r="42">
      <c r="A42" s="5" t="inlineStr">
        <is>
          <t>監査報酬（上場後）</t>
        </is>
      </c>
      <c r="B42" s="18" t="n">
        <v>40</v>
      </c>
      <c r="C42" s="18" t="n">
        <v>70</v>
      </c>
      <c r="H42" s="7" t="inlineStr">
        <is>
          <t>上場会社・売上108億規模</t>
        </is>
      </c>
    </row>
    <row r="43">
      <c r="A43" s="5" t="inlineStr">
        <is>
          <t>株式事務代行・IR</t>
        </is>
      </c>
      <c r="B43" s="18" t="n">
        <v>20</v>
      </c>
      <c r="C43" s="18" t="n">
        <v>40</v>
      </c>
      <c r="H43" s="7" t="inlineStr">
        <is>
          <t>信託銀行・開示書類・説明会</t>
        </is>
      </c>
    </row>
    <row r="44">
      <c r="A44" s="5" t="inlineStr">
        <is>
          <t>顧問弁護士</t>
        </is>
      </c>
      <c r="B44" s="18" t="n">
        <v>12</v>
      </c>
      <c r="C44" s="18" t="n">
        <v>30</v>
      </c>
      <c r="H44" s="7" t="inlineStr">
        <is>
          <t>契約審査・中国パートナー・業務委託設計</t>
        </is>
      </c>
    </row>
    <row r="45">
      <c r="A45" s="5" t="inlineStr">
        <is>
          <t>税理士・社会保険労務士</t>
        </is>
      </c>
      <c r="B45" s="18" t="n">
        <v>6</v>
      </c>
      <c r="C45" s="18" t="n">
        <v>12</v>
      </c>
      <c r="H45" s="7" t="inlineStr"/>
    </row>
    <row r="46">
      <c r="A46" s="5" t="inlineStr">
        <is>
          <t>オフィス（社員26名）</t>
        </is>
      </c>
      <c r="B46" s="18" t="n">
        <v>30</v>
      </c>
      <c r="C46" s="18" t="n">
        <v>50</v>
      </c>
      <c r="H46" s="7" t="inlineStr"/>
    </row>
    <row r="47">
      <c r="A47" s="5" t="inlineStr">
        <is>
          <t>SaaS・通信・インフラ（非開発）</t>
        </is>
      </c>
      <c r="B47" s="18" t="n">
        <v>20</v>
      </c>
      <c r="C47" s="18" t="n">
        <v>40</v>
      </c>
      <c r="H47" s="7" t="inlineStr"/>
    </row>
    <row r="48">
      <c r="A48" s="5" t="inlineStr">
        <is>
          <t>採用・教育</t>
        </is>
      </c>
      <c r="B48" s="18" t="n">
        <v>30</v>
      </c>
      <c r="C48" s="18" t="n">
        <v>60</v>
      </c>
      <c r="H48" s="7" t="inlineStr">
        <is>
          <t>PM・統括級の採用は単価が高い</t>
        </is>
      </c>
    </row>
    <row r="49">
      <c r="A49" s="5" t="inlineStr">
        <is>
          <t>旅費交通</t>
        </is>
      </c>
      <c r="B49" s="18" t="n">
        <v>30</v>
      </c>
      <c r="C49" s="18" t="n">
        <v>60</v>
      </c>
      <c r="H49" s="7" t="inlineStr">
        <is>
          <t>中国・ベトナム・東欧の往復</t>
        </is>
      </c>
    </row>
    <row r="50">
      <c r="A50" s="5" t="inlineStr">
        <is>
          <t>保険・その他</t>
        </is>
      </c>
      <c r="B50" s="18" t="n">
        <v>20</v>
      </c>
      <c r="C50" s="18" t="n">
        <v>40</v>
      </c>
      <c r="H50" s="7" t="inlineStr"/>
    </row>
    <row r="51">
      <c r="A51" s="4" t="inlineStr">
        <is>
          <t>合計（百万円）</t>
        </is>
      </c>
      <c r="B51" s="21">
        <f>SUM(B42:B50)</f>
        <v/>
      </c>
      <c r="C51" s="21">
        <f>SUM(C42:C50)</f>
        <v/>
      </c>
    </row>
    <row r="52">
      <c r="A52" s="4" t="inlineStr">
        <is>
          <t>その他販管費（5期・売上の4%）</t>
        </is>
      </c>
      <c r="C52" s="6">
        <f>'損益計算書'!G27</f>
        <v/>
      </c>
    </row>
    <row r="53">
      <c r="A53" s="4" t="inlineStr">
        <is>
          <t>判定</t>
        </is>
      </c>
      <c r="C53" s="34">
        <f>IF(C52&gt;=C51,"○ 上限まで賄える","× 足りない")</f>
        <v/>
      </c>
      <c r="H53" s="7" t="inlineStr">
        <is>
          <t>★費目はすべて私の見積もり。実際の見積を取ったものではない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'人員と人件費'!C34</f>
        <v/>
      </c>
      <c r="D22" s="8">
        <f>'人員と人件費'!D34</f>
        <v/>
      </c>
      <c r="E22" s="8">
        <f>'人員と人件費'!E34</f>
        <v/>
      </c>
      <c r="F22" s="8">
        <f>'人員と人件費'!F34</f>
        <v/>
      </c>
      <c r="G22" s="8">
        <f>'人員と人件費'!G34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その他販管費</t>
        </is>
      </c>
      <c r="B27" s="5" t="inlineStr"/>
      <c r="C27" s="8">
        <f>C12*'前提'!$C$16</f>
        <v/>
      </c>
      <c r="D27" s="8">
        <f>D12*'前提'!$D$16</f>
        <v/>
      </c>
      <c r="E27" s="8">
        <f>E12*'前提'!$E$16</f>
        <v/>
      </c>
      <c r="F27" s="8">
        <f>F12*'前提'!$F$16</f>
        <v/>
      </c>
      <c r="G27" s="8">
        <f>G12*'前提'!$G$16</f>
        <v/>
      </c>
    </row>
    <row r="28">
      <c r="A28" s="4" t="inlineStr">
        <is>
          <t>販売費・一般管理費 計</t>
        </is>
      </c>
      <c r="B28" s="5" t="inlineStr"/>
      <c r="C28" s="37">
        <f>SUM(C21:C27)</f>
        <v/>
      </c>
      <c r="D28" s="37">
        <f>SUM(D21:D27)</f>
        <v/>
      </c>
      <c r="E28" s="37">
        <f>SUM(E21:E27)</f>
        <v/>
      </c>
      <c r="F28" s="37">
        <f>SUM(F21:F27)</f>
        <v/>
      </c>
      <c r="G28" s="37">
        <f>SUM(G21:G27)</f>
        <v/>
      </c>
    </row>
    <row r="29">
      <c r="A29" s="4" t="inlineStr">
        <is>
          <t>営業利益</t>
        </is>
      </c>
      <c r="B29" s="5" t="inlineStr"/>
      <c r="C29" s="6">
        <f>C18-C28</f>
        <v/>
      </c>
      <c r="D29" s="6">
        <f>D18-D28</f>
        <v/>
      </c>
      <c r="E29" s="6">
        <f>E18-E28</f>
        <v/>
      </c>
      <c r="F29" s="6">
        <f>F18-F28</f>
        <v/>
      </c>
      <c r="G29" s="6">
        <f>G18-G28</f>
        <v/>
      </c>
    </row>
    <row r="30">
      <c r="A30" s="4" t="inlineStr">
        <is>
          <t xml:space="preserve">　営業利益率</t>
        </is>
      </c>
      <c r="B30" s="5" t="inlineStr"/>
      <c r="C30" s="38">
        <f>IF(C12=0,0,C29/C12)</f>
        <v/>
      </c>
      <c r="D30" s="38">
        <f>IF(D12=0,0,D29/D12)</f>
        <v/>
      </c>
      <c r="E30" s="38">
        <f>IF(E12=0,0,E29/E12)</f>
        <v/>
      </c>
      <c r="F30" s="38">
        <f>IF(F12=0,0,F29/F12)</f>
        <v/>
      </c>
      <c r="G30" s="38">
        <f>IF(G12=0,0,G29/G12)</f>
        <v/>
      </c>
    </row>
    <row r="32">
      <c r="A32" s="12" t="inlineStr">
        <is>
          <t>投資家が見る指標</t>
        </is>
      </c>
    </row>
    <row r="33">
      <c r="A33" s="5" t="inlineStr">
        <is>
          <t>社員数</t>
        </is>
      </c>
      <c r="B33" s="5" t="inlineStr"/>
      <c r="C33" s="8">
        <f>'人員と人件費'!C10</f>
        <v/>
      </c>
      <c r="D33" s="8">
        <f>'人員と人件費'!D10</f>
        <v/>
      </c>
      <c r="E33" s="8">
        <f>'人員と人件費'!E10</f>
        <v/>
      </c>
      <c r="F33" s="8">
        <f>'人員と人件費'!F10</f>
        <v/>
      </c>
      <c r="G33" s="8">
        <f>'人員と人件費'!G10</f>
        <v/>
      </c>
    </row>
    <row r="34">
      <c r="A34" s="4" t="inlineStr">
        <is>
          <t>売上 / 社員（万円）</t>
        </is>
      </c>
      <c r="B34" s="5" t="inlineStr"/>
      <c r="C34" s="6">
        <f>IF(C33=0,0,C12*100/C33)</f>
        <v/>
      </c>
      <c r="D34" s="6">
        <f>IF(D33=0,0,D12*100/D33)</f>
        <v/>
      </c>
      <c r="E34" s="6">
        <f>IF(E33=0,0,E12*100/E33)</f>
        <v/>
      </c>
      <c r="F34" s="6">
        <f>IF(F33=0,0,F12*100/F33)</f>
        <v/>
      </c>
      <c r="G34" s="6">
        <f>IF(G33=0,0,G12*100/G33)</f>
        <v/>
      </c>
      <c r="H34" s="7" t="inlineStr">
        <is>
          <t>国内SaaSの平均2,000〜4,000万との比較</t>
        </is>
      </c>
    </row>
    <row r="35">
      <c r="A35" s="5" t="inlineStr">
        <is>
          <t>研究開発費 ÷ 売上</t>
        </is>
      </c>
      <c r="B35" s="5" t="inlineStr"/>
      <c r="C35" s="10">
        <f>IF(C12=0,0,C23/C12)</f>
        <v/>
      </c>
      <c r="D35" s="10">
        <f>IF(D12=0,0,D23/D12)</f>
        <v/>
      </c>
      <c r="E35" s="10">
        <f>IF(E12=0,0,E23/E12)</f>
        <v/>
      </c>
      <c r="F35" s="10">
        <f>IF(F12=0,0,F23/F12)</f>
        <v/>
      </c>
      <c r="G35" s="10">
        <f>IF(G12=0,0,G23/G12)</f>
        <v/>
      </c>
    </row>
    <row r="36">
      <c r="A36" s="5" t="inlineStr">
        <is>
          <t>人手に比例しない収益</t>
        </is>
      </c>
      <c r="B36" s="5" t="inlineStr"/>
      <c r="C36" s="8">
        <f>C10+C11+C4*(1-1/'前提'!$C$4)</f>
        <v/>
      </c>
      <c r="D36" s="8">
        <f>D10+D11+D4*(1-1/'前提'!$D$4)</f>
        <v/>
      </c>
      <c r="E36" s="8">
        <f>E10+E11+E4*(1-1/'前提'!$E$4)</f>
        <v/>
      </c>
      <c r="F36" s="8">
        <f>F10+F11+F4*(1-1/'前提'!$F$4)</f>
        <v/>
      </c>
      <c r="G36" s="8">
        <f>G10+G11+G4*(1-1/'前提'!$G$4)</f>
        <v/>
      </c>
      <c r="H36" s="7" t="inlineStr">
        <is>
          <t>②＋③＋①のうちAXで人手から切れた分</t>
        </is>
      </c>
    </row>
    <row r="37">
      <c r="A37" s="4" t="inlineStr">
        <is>
          <t xml:space="preserve">　同 比率</t>
        </is>
      </c>
      <c r="B37" s="5" t="inlineStr"/>
      <c r="C37" s="9">
        <f>IF(C12=0,0,C36/C12)</f>
        <v/>
      </c>
      <c r="D37" s="9">
        <f>IF(D12=0,0,D36/D12)</f>
        <v/>
      </c>
      <c r="E37" s="9">
        <f>IF(E12=0,0,E36/E12)</f>
        <v/>
      </c>
      <c r="F37" s="9">
        <f>IF(F12=0,0,F36/F12)</f>
        <v/>
      </c>
      <c r="G37" s="9">
        <f>IF(G12=0,0,G36/G12)</f>
        <v/>
      </c>
      <c r="H37" s="7" t="inlineStr">
        <is>
          <t>受託と読まれないための中心指標</t>
        </is>
      </c>
    </row>
    <row r="38">
      <c r="A38" s="5" t="inlineStr">
        <is>
          <t>顧客が浮かせる額</t>
        </is>
      </c>
      <c r="B38" s="5" t="inlineStr"/>
      <c r="C38" s="8">
        <f>'商品マスタ①'!I14</f>
        <v/>
      </c>
      <c r="D38" s="8">
        <f>'商品マスタ①'!J14</f>
        <v/>
      </c>
      <c r="E38" s="8">
        <f>'商品マスタ①'!K14</f>
        <v/>
      </c>
      <c r="F38" s="8">
        <f>'商品マスタ①'!L14</f>
        <v/>
      </c>
      <c r="G38" s="8">
        <f>'商品マスタ①'!M14</f>
        <v/>
      </c>
      <c r="H38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37">
        <f>'損益計算書'!C29</f>
        <v/>
      </c>
      <c r="D4" s="37">
        <f>'損益計算書'!D29</f>
        <v/>
      </c>
      <c r="E4" s="37">
        <f>'損益計算書'!E29</f>
        <v/>
      </c>
      <c r="F4" s="37">
        <f>'損益計算書'!F29</f>
        <v/>
      </c>
      <c r="G4" s="37">
        <f>'損益計算書'!G29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37">
        <f>C9+C10</f>
        <v/>
      </c>
      <c r="D11" s="37">
        <f>D9+D10</f>
        <v/>
      </c>
      <c r="E11" s="37">
        <f>E9+E10</f>
        <v/>
      </c>
      <c r="F11" s="37">
        <f>F9+F10</f>
        <v/>
      </c>
      <c r="G11" s="3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37">
        <f>C16+C17+C18</f>
        <v/>
      </c>
      <c r="D19" s="37">
        <f>D16+D17+D18</f>
        <v/>
      </c>
      <c r="E19" s="37">
        <f>E16+E17+E18</f>
        <v/>
      </c>
      <c r="F19" s="37">
        <f>F16+F17+F18</f>
        <v/>
      </c>
      <c r="G19" s="37">
        <f>G16+G17+G18</f>
        <v/>
      </c>
    </row>
    <row r="21">
      <c r="A21" s="4" t="inlineStr">
        <is>
          <t>当期キャッシュ増減</t>
        </is>
      </c>
      <c r="B21" s="5" t="inlineStr"/>
      <c r="C21" s="37">
        <f>C14+C15+C19</f>
        <v/>
      </c>
      <c r="D21" s="37">
        <f>D14+D15+D19</f>
        <v/>
      </c>
      <c r="E21" s="37">
        <f>E14+E15+E19</f>
        <v/>
      </c>
      <c r="F21" s="37">
        <f>F14+F15+F19</f>
        <v/>
      </c>
      <c r="G21" s="3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9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9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0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1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0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1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0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1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0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1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0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1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0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1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0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1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38">
        <f>D26</f>
        <v/>
      </c>
      <c r="C30" s="16" t="inlineStr">
        <is>
          <t>—</t>
        </is>
      </c>
      <c r="D30" s="17" t="inlineStr">
        <is>
          <t>× 除外</t>
        </is>
      </c>
      <c r="E30" s="3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38">
        <f>E26</f>
        <v/>
      </c>
      <c r="C31" s="16" t="inlineStr">
        <is>
          <t>—</t>
        </is>
      </c>
      <c r="D31" s="17" t="inlineStr">
        <is>
          <t>× 除外</t>
        </is>
      </c>
      <c r="E31" s="3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38">
        <f>F26</f>
        <v/>
      </c>
      <c r="C32" s="16">
        <f>IF(B32&lt;0.1,"10%未満","10%以上")</f>
        <v/>
      </c>
      <c r="D32" s="16">
        <f>IF(B32&lt;0.1,"○ 算入","× 除外")</f>
        <v/>
      </c>
      <c r="E32" s="3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38">
        <f>G26</f>
        <v/>
      </c>
      <c r="C33" s="16">
        <f>IF(B33&lt;0.1,"10%未満","10%以上")</f>
        <v/>
      </c>
      <c r="D33" s="16">
        <f>IF(B33&lt;0.1,"○ 算入","× 除外")</f>
        <v/>
      </c>
      <c r="E33" s="3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38">
        <f>H26</f>
        <v/>
      </c>
      <c r="C34" s="16" t="inlineStr">
        <is>
          <t>—</t>
        </is>
      </c>
      <c r="D34" s="16" t="inlineStr">
        <is>
          <t>○ 算入</t>
        </is>
      </c>
      <c r="E34" s="3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2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9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3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9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4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4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4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4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4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0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0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5" t="inlineStr">
        <is>
          <t>【当社 5期（2031年）】</t>
        </is>
      </c>
      <c r="B14" s="46">
        <f>'損益計算書'!$G$12/100</f>
        <v/>
      </c>
      <c r="C14" s="45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7" t="inlineStr">
        <is>
          <t>── 実測 ──</t>
        </is>
      </c>
      <c r="B4" s="40" t="inlineStr"/>
      <c r="C4" s="16" t="inlineStr"/>
      <c r="D4" s="7" t="inlineStr"/>
    </row>
    <row r="5">
      <c r="A5" s="5" t="inlineStr">
        <is>
          <t>国内 映像制作市場</t>
        </is>
      </c>
      <c r="B5" s="40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0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0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0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0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0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0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0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0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0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7" t="inlineStr">
        <is>
          <t>── 確認できなかった ──</t>
        </is>
      </c>
      <c r="B15" s="40" t="inlineStr"/>
      <c r="C15" s="16" t="inlineStr"/>
      <c r="D15" s="7" t="inlineStr"/>
    </row>
    <row r="16">
      <c r="A16" s="5" t="inlineStr">
        <is>
          <t>スキルシェア市場の映像比率</t>
        </is>
      </c>
      <c r="B16" s="40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7" t="inlineStr">
        <is>
          <t>── 松田さんの決定 ──</t>
        </is>
      </c>
      <c r="B17" s="40" t="inlineStr"/>
      <c r="C17" s="16" t="inlineStr"/>
      <c r="D17" s="7" t="inlineStr"/>
    </row>
    <row r="18">
      <c r="A18" s="5" t="inlineStr">
        <is>
          <t>③ 手数料率</t>
        </is>
      </c>
      <c r="B18" s="40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0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0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0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0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7" t="inlineStr">
        <is>
          <t>── ★私が置いた値 ──</t>
        </is>
      </c>
      <c r="B23" s="40" t="inlineStr"/>
      <c r="C23" s="16" t="inlineStr"/>
      <c r="D23" s="7" t="inlineStr"/>
    </row>
    <row r="24">
      <c r="A24" s="5" t="inlineStr">
        <is>
          <t>AX倍率</t>
        </is>
      </c>
      <c r="B24" s="40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0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0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0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0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0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0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0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0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7" t="inlineStr">
        <is>
          <t>── 未確定 ──</t>
        </is>
      </c>
      <c r="B33" s="40" t="inlineStr"/>
      <c r="C33" s="16" t="inlineStr"/>
      <c r="D33" s="7" t="inlineStr"/>
    </row>
    <row r="34">
      <c r="A34" s="5" t="inlineStr">
        <is>
          <t>中国の映像制作パートナー</t>
        </is>
      </c>
      <c r="B34" s="40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0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0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2026-09-23T09:11:40Z</dcterms:created>
  <dcterms:modified xmlns:dcterms="http://purl.org/dc/terms/" xmlns:xsi="http://www.w3.org/2001/XMLSchema-instance" xsi:type="dcterms:W3CDTF">2026-09-23T09:11:40Z</dcterms:modified>
</cp:coreProperties>
</file>