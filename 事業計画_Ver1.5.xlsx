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18" t="n">
        <v>1</v>
      </c>
      <c r="D5" s="18" t="n">
        <v>2</v>
      </c>
      <c r="E5" s="18" t="n">
        <v>4</v>
      </c>
      <c r="F5" s="18" t="n">
        <v>6</v>
      </c>
      <c r="G5" s="18" t="n">
        <v>8</v>
      </c>
      <c r="H5" s="7" t="inlineStr">
        <is>
          <t>オフショアチームを率いる。開発者は社員で抱えない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2</v>
      </c>
      <c r="H9" s="7" t="inlineStr">
        <is>
          <t>AX化で極小。取引処理はBPOと自動化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</t>
        </is>
      </c>
    </row>
    <row r="20" ht="24" customHeight="1">
      <c r="A20" s="3" t="inlineStr">
        <is>
          <t>項目</t>
        </is>
      </c>
      <c r="B20" s="3" t="inlineStr">
        <is>
          <t>値</t>
        </is>
      </c>
      <c r="C20" s="3" t="inlineStr">
        <is>
          <t>単位</t>
        </is>
      </c>
      <c r="D20" s="3" t="inlineStr"/>
      <c r="E20" s="3" t="inlineStr"/>
      <c r="F20" s="3" t="inlineStr"/>
      <c r="G20" s="3" t="inlineStr"/>
      <c r="H20" s="3" t="inlineStr">
        <is>
          <t>出所</t>
        </is>
      </c>
    </row>
    <row r="21">
      <c r="A21" s="5" t="inlineStr">
        <is>
          <t>ベトナム（シニア）</t>
        </is>
      </c>
      <c r="B21" s="25" t="n">
        <v>50</v>
      </c>
      <c r="C21" s="16" t="inlineStr">
        <is>
          <t>万円/月</t>
        </is>
      </c>
      <c r="H21" s="7" t="inlineStr">
        <is>
          <t>オフショア開発.com 2026（実測）</t>
        </is>
      </c>
    </row>
    <row r="22">
      <c r="A22" s="5" t="inlineStr">
        <is>
          <t>中国（シニア）</t>
        </is>
      </c>
      <c r="B22" s="25" t="n">
        <v>71.7</v>
      </c>
      <c r="C22" s="16" t="inlineStr">
        <is>
          <t>万円/月</t>
        </is>
      </c>
      <c r="H22" s="7" t="inlineStr">
        <is>
          <t>同上。★オフショア先で最も高い</t>
        </is>
      </c>
    </row>
    <row r="23">
      <c r="A23" s="5" t="inlineStr">
        <is>
          <t>東欧（シニア）</t>
        </is>
      </c>
      <c r="B23" s="25" t="n">
        <v>80</v>
      </c>
      <c r="C23" s="16" t="inlineStr">
        <is>
          <t>万円/月</t>
        </is>
      </c>
      <c r="H23" s="7" t="inlineStr">
        <is>
          <t>★推定。この調査に東欧は含まれない</t>
        </is>
      </c>
    </row>
    <row r="24">
      <c r="A24" s="5" t="inlineStr">
        <is>
          <t>構成比 ベトナム</t>
        </is>
      </c>
      <c r="B24" s="19" t="n">
        <v>0.5</v>
      </c>
      <c r="C24" s="16" t="inlineStr">
        <is>
          <t>%</t>
        </is>
      </c>
      <c r="H24" s="7" t="inlineStr">
        <is>
          <t>★</t>
        </is>
      </c>
    </row>
    <row r="25">
      <c r="A25" s="5" t="inlineStr">
        <is>
          <t>構成比 中国</t>
        </is>
      </c>
      <c r="B25" s="19" t="n">
        <v>0.3</v>
      </c>
      <c r="C25" s="16" t="inlineStr">
        <is>
          <t>%</t>
        </is>
      </c>
      <c r="H25" s="7" t="inlineStr">
        <is>
          <t>★</t>
        </is>
      </c>
    </row>
    <row r="26">
      <c r="A26" s="5" t="inlineStr">
        <is>
          <t>構成比 東欧</t>
        </is>
      </c>
      <c r="B26" s="19" t="n">
        <v>0.2</v>
      </c>
      <c r="C26" s="16" t="inlineStr">
        <is>
          <t>%</t>
        </is>
      </c>
      <c r="H26" s="7" t="inlineStr">
        <is>
          <t>★</t>
        </is>
      </c>
    </row>
    <row r="27">
      <c r="A27" s="4" t="inlineStr">
        <is>
          <t>加重単価（万円/年）</t>
        </is>
      </c>
      <c r="B27" s="21">
        <f>(B21*B24+B22*B25+B23*B26)*12</f>
        <v/>
      </c>
    </row>
    <row r="28">
      <c r="A28" s="4" t="inlineStr">
        <is>
          <t>PM1名あたりのエンジニア数</t>
        </is>
      </c>
      <c r="B28" s="18" t="n">
        <v>5</v>
      </c>
      <c r="H28" s="7" t="inlineStr">
        <is>
          <t>★ブリッジはPMが兼ねる前提</t>
        </is>
      </c>
    </row>
    <row r="29">
      <c r="A29" s="36" t="inlineStr">
        <is>
          <t>⚠ 中国はオフショア先として最も高い（71.7万/月・ベトナムの1.43倍）。「中国の方が安い」のは剪辑師（月18.8万・雇用ベース）の話で、エンジニアの受託単価ではない。インド45.0／フィリピン47.5／ミャンマー40.0 の方が安い。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>
        <is>
          <t>考え方</t>
        </is>
      </c>
    </row>
    <row r="32">
      <c r="A32" s="5" t="inlineStr">
        <is>
          <t>PM（社員）</t>
        </is>
      </c>
      <c r="C32" s="8">
        <f>C5</f>
        <v/>
      </c>
      <c r="D32" s="8">
        <f>D5</f>
        <v/>
      </c>
      <c r="E32" s="8">
        <f>E5</f>
        <v/>
      </c>
      <c r="F32" s="8">
        <f>F5</f>
        <v/>
      </c>
      <c r="G32" s="8">
        <f>G5</f>
        <v/>
      </c>
    </row>
    <row r="33">
      <c r="A33" s="5" t="inlineStr">
        <is>
          <t>オフショアエンジニア（委託）</t>
        </is>
      </c>
      <c r="C33" s="8">
        <f>C32*$B$28</f>
        <v/>
      </c>
      <c r="D33" s="8">
        <f>D32*$B$28</f>
        <v/>
      </c>
      <c r="E33" s="8">
        <f>E32*$B$28</f>
        <v/>
      </c>
      <c r="F33" s="8">
        <f>F32*$B$28</f>
        <v/>
      </c>
      <c r="G33" s="8">
        <f>G32*$B$28</f>
        <v/>
      </c>
    </row>
    <row r="34">
      <c r="A34" s="4" t="inlineStr">
        <is>
          <t>開発委託費（百万円）</t>
        </is>
      </c>
      <c r="C34" s="6">
        <f>C33*$B$27/100</f>
        <v/>
      </c>
      <c r="D34" s="6">
        <f>D33*$B$27/100</f>
        <v/>
      </c>
      <c r="E34" s="6">
        <f>E33*$B$27/100</f>
        <v/>
      </c>
      <c r="F34" s="6">
        <f>F33*$B$27/100</f>
        <v/>
      </c>
      <c r="G34" s="6">
        <f>G33*$B$27/100</f>
        <v/>
      </c>
    </row>
    <row r="36">
      <c r="A36" s="2" t="inlineStr">
        <is>
          <t>旧構成はモデル開発エンジニアを社員で40名抱えていた。PM8名＋委託40名に置き換えると、社員は61名→25名。コストはほぼ変わらない（人件費が下がり委託費が上がる）。狙いはコスト削減ではなく組織の身軽さ。</t>
        </is>
      </c>
    </row>
    <row r="37">
      <c r="A37" s="36" t="inlineStr">
        <is>
          <t>⚠ 管理・コーポレート2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'人員と人件費'!C34</f>
        <v/>
      </c>
      <c r="D22" s="8">
        <f>'人員と人件費'!D34</f>
        <v/>
      </c>
      <c r="E22" s="8">
        <f>'人員と人件費'!E34</f>
        <v/>
      </c>
      <c r="F22" s="8">
        <f>'人員と人件費'!F34</f>
        <v/>
      </c>
      <c r="G22" s="8">
        <f>'人員と人件費'!G34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8">
        <f>IF(C12=0,0,C29/C12)</f>
        <v/>
      </c>
      <c r="D30" s="38">
        <f>IF(D12=0,0,D29/D12)</f>
        <v/>
      </c>
      <c r="E30" s="38">
        <f>IF(E12=0,0,E29/E12)</f>
        <v/>
      </c>
      <c r="F30" s="38">
        <f>IF(F12=0,0,F29/F12)</f>
        <v/>
      </c>
      <c r="G30" s="38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2026-09-23T09:09:52Z</dcterms:created>
  <dcterms:modified xmlns:dcterms="http://purl.org/dc/terms/" xmlns:xsi="http://www.w3.org/2001/XMLSchema-instance" xsi:type="dcterms:W3CDTF">2026-09-23T09:09:52Z</dcterms:modified>
</cp:coreProperties>
</file>