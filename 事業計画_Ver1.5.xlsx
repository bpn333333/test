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10" fontId="5" fillId="3" borderId="1" applyAlignment="1" pivotButton="0" quotePrefix="0" xfId="0">
      <alignment horizontal="right"/>
    </xf>
    <xf numFmtId="0" fontId="6" fillId="0" borderId="0" pivotButton="0" quotePrefix="0" xfId="0"/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0" fontId="6" fillId="0" borderId="1" pivotButton="0" quotePrefix="0" xfId="0"/>
    <xf numFmtId="3" fontId="6" fillId="5" borderId="1" applyAlignment="1" pivotButton="0" quotePrefix="0" xfId="0">
      <alignment horizontal="right"/>
    </xf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5年計画サマリー（Ver1.5）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'損益計算書'!C28</f>
        <v/>
      </c>
      <c r="D9" s="6">
        <f>'損益計算書'!D28</f>
        <v/>
      </c>
      <c r="E9" s="6">
        <f>'損益計算書'!E28</f>
        <v/>
      </c>
      <c r="F9" s="6">
        <f>'損益計算書'!F28</f>
        <v/>
      </c>
      <c r="G9" s="6">
        <f>'損益計算書'!G28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'損益計算書'!C29</f>
        <v/>
      </c>
      <c r="D10" s="9">
        <f>'損益計算書'!D29</f>
        <v/>
      </c>
      <c r="E10" s="9">
        <f>'損益計算書'!E29</f>
        <v/>
      </c>
      <c r="F10" s="9">
        <f>'損益計算書'!F29</f>
        <v/>
      </c>
      <c r="G10" s="9">
        <f>'損益計算書'!G29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'損益計算書'!C32</f>
        <v/>
      </c>
      <c r="D13" s="8">
        <f>'損益計算書'!D32</f>
        <v/>
      </c>
      <c r="E13" s="8">
        <f>'損益計算書'!E32</f>
        <v/>
      </c>
      <c r="F13" s="8">
        <f>'損益計算書'!F32</f>
        <v/>
      </c>
      <c r="G13" s="8">
        <f>'損益計算書'!G32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'損益計算書'!C33</f>
        <v/>
      </c>
      <c r="D14" s="6">
        <f>'損益計算書'!D33</f>
        <v/>
      </c>
      <c r="E14" s="6">
        <f>'損益計算書'!E33</f>
        <v/>
      </c>
      <c r="F14" s="6">
        <f>'損益計算書'!F33</f>
        <v/>
      </c>
      <c r="G14" s="6">
        <f>'損益計算書'!G33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'損益計算書'!C36</f>
        <v/>
      </c>
      <c r="D15" s="9">
        <f>'損益計算書'!D36</f>
        <v/>
      </c>
      <c r="E15" s="9">
        <f>'損益計算書'!E36</f>
        <v/>
      </c>
      <c r="F15" s="9">
        <f>'損益計算書'!F36</f>
        <v/>
      </c>
      <c r="G15" s="9">
        <f>'損益計算書'!G36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'損益計算書'!C34</f>
        <v/>
      </c>
      <c r="D16" s="10">
        <f>'損益計算書'!D34</f>
        <v/>
      </c>
      <c r="E16" s="10">
        <f>'損益計算書'!E34</f>
        <v/>
      </c>
      <c r="F16" s="10">
        <f>'損益計算書'!F34</f>
        <v/>
      </c>
      <c r="G16" s="10">
        <f>'損益計算書'!G34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'損益計算書'!C37</f>
        <v/>
      </c>
      <c r="D18" s="8">
        <f>'損益計算書'!D37</f>
        <v/>
      </c>
      <c r="E18" s="8">
        <f>'損益計算書'!E37</f>
        <v/>
      </c>
      <c r="F18" s="8">
        <f>'損益計算書'!F37</f>
        <v/>
      </c>
      <c r="G18" s="8">
        <f>'損益計算書'!G37</f>
        <v/>
      </c>
      <c r="H18" s="7" t="inlineStr">
        <is>
          <t>①の提案の中身</t>
        </is>
      </c>
    </row>
    <row r="20">
      <c r="A20" s="12" t="inlineStr">
        <is>
          <t>シード投資家（1.42億）のリターン</t>
        </is>
      </c>
    </row>
    <row r="21" ht="24" customHeight="1">
      <c r="A21" s="3" t="inlineStr">
        <is>
          <t>ケース</t>
        </is>
      </c>
      <c r="B21" s="3" t="inlineStr"/>
      <c r="C21" s="3" t="inlineStr">
        <is>
          <t>時価総額(億)</t>
        </is>
      </c>
      <c r="D21" s="3" t="inlineStr">
        <is>
          <t>取り分(億)</t>
        </is>
      </c>
      <c r="E21" s="3" t="inlineStr">
        <is>
          <t>倍率</t>
        </is>
      </c>
      <c r="F21" s="3" t="inlineStr">
        <is>
          <t>IRR</t>
        </is>
      </c>
      <c r="G21" s="3" t="inlineStr"/>
      <c r="H21" s="3" t="inlineStr">
        <is>
          <t>根拠</t>
        </is>
      </c>
    </row>
    <row r="22">
      <c r="A22" s="4" t="inlineStr">
        <is>
          <t>ライン別・保守</t>
        </is>
      </c>
      <c r="B22" s="5" t="inlineStr"/>
      <c r="C22" s="8">
        <f>'資本政策とリターン'!E13</f>
        <v/>
      </c>
      <c r="D22" s="13">
        <f>'資本政策とリターン'!F13</f>
        <v/>
      </c>
      <c r="E22" s="14">
        <f>'資本政策とリターン'!G13</f>
        <v/>
      </c>
      <c r="F22" s="10">
        <f>'資本政策とリターン'!H13</f>
        <v/>
      </c>
      <c r="G22" s="5" t="inlineStr"/>
      <c r="H22" s="7" t="inlineStr">
        <is>
          <t>ツール6倍＋C2C4倍＋制作1.5倍</t>
        </is>
      </c>
    </row>
    <row r="23">
      <c r="A23" s="4" t="inlineStr">
        <is>
          <t>ライン別・中庸</t>
        </is>
      </c>
      <c r="B23" s="5" t="inlineStr"/>
      <c r="C23" s="8">
        <f>'資本政策とリターン'!E14</f>
        <v/>
      </c>
      <c r="D23" s="13">
        <f>'資本政策とリターン'!F14</f>
        <v/>
      </c>
      <c r="E23" s="14">
        <f>'資本政策とリターン'!G14</f>
        <v/>
      </c>
      <c r="F23" s="10">
        <f>'資本政策とリターン'!H14</f>
        <v/>
      </c>
      <c r="G23" s="5" t="inlineStr"/>
      <c r="H23" s="7" t="inlineStr">
        <is>
          <t>ツール7倍＋C2C5倍＋制作2.0倍</t>
        </is>
      </c>
    </row>
    <row r="24">
      <c r="A24" s="4" t="inlineStr">
        <is>
          <t>ライン別・強気</t>
        </is>
      </c>
      <c r="B24" s="5" t="inlineStr"/>
      <c r="C24" s="8">
        <f>'資本政策とリターン'!E15</f>
        <v/>
      </c>
      <c r="D24" s="13">
        <f>'資本政策とリターン'!F15</f>
        <v/>
      </c>
      <c r="E24" s="14">
        <f>'資本政策とリターン'!G15</f>
        <v/>
      </c>
      <c r="F24" s="10">
        <f>'資本政策とリターン'!H15</f>
        <v/>
      </c>
      <c r="G24" s="5" t="inlineStr"/>
      <c r="H24" s="7" t="inlineStr">
        <is>
          <t>ツール8倍＋C2C6倍＋制作2.5倍</t>
        </is>
      </c>
    </row>
    <row r="25">
      <c r="A25" s="4" t="inlineStr">
        <is>
          <t>全社 PSR 4倍</t>
        </is>
      </c>
      <c r="B25" s="5" t="inlineStr"/>
      <c r="C25" s="8">
        <f>'資本政策とリターン'!E19</f>
        <v/>
      </c>
      <c r="D25" s="13">
        <f>'資本政策とリターン'!F19</f>
        <v/>
      </c>
      <c r="E25" s="14">
        <f>'資本政策とリターン'!G19</f>
        <v/>
      </c>
      <c r="F25" s="10">
        <f>'資本政策とリターン'!H19</f>
        <v/>
      </c>
      <c r="G25" s="5" t="inlineStr"/>
      <c r="H25" s="7" t="inlineStr">
        <is>
          <t>人手に比例しない収益が9割であること</t>
        </is>
      </c>
    </row>
    <row r="26">
      <c r="A26" s="4" t="inlineStr">
        <is>
          <t>全社 PSR 5倍</t>
        </is>
      </c>
      <c r="B26" s="5" t="inlineStr"/>
      <c r="C26" s="8">
        <f>'資本政策とリターン'!E20</f>
        <v/>
      </c>
      <c r="D26" s="13">
        <f>'資本政策とリターン'!F20</f>
        <v/>
      </c>
      <c r="E26" s="14">
        <f>'資本政策とリターン'!G20</f>
        <v/>
      </c>
      <c r="F26" s="10">
        <f>'資本政策とリターン'!H20</f>
        <v/>
      </c>
      <c r="G26" s="5" t="inlineStr"/>
      <c r="H26" s="7" t="inlineStr"/>
    </row>
    <row r="28">
      <c r="A28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30">
      <c r="A30" s="12" t="inlineStr">
        <is>
          <t>このモデルの読み方</t>
        </is>
      </c>
    </row>
    <row r="31">
      <c r="A31" s="2" t="inlineStr">
        <is>
          <t>入力は「前提」と3つの「商品マスタ」の黄色セルだけ。ほかは全部そこを参照する数式。</t>
        </is>
      </c>
    </row>
    <row r="32">
      <c r="A32" s="2" t="inlineStr">
        <is>
          <t>①の平均単価と平均難度は、商品構成比から導出される。直接は入力できない。</t>
        </is>
      </c>
    </row>
    <row r="33">
      <c r="A33" s="2" t="inlineStr">
        <is>
          <t>③は成約が価格帯のどこに落ちるかで3倍動く。いまは中点（均等）を採用している。</t>
        </is>
      </c>
    </row>
    <row r="34">
      <c r="A34" s="2" t="inlineStr">
        <is>
          <t>⚠ xlsx を手で編集しないこと。make_xlsx15.py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5" t="n">
        <v>1</v>
      </c>
      <c r="D4" s="15" t="n">
        <v>1.5</v>
      </c>
      <c r="E4" s="15" t="n">
        <v>2.2</v>
      </c>
      <c r="F4" s="15" t="n">
        <v>3</v>
      </c>
      <c r="G4" s="15" t="n">
        <v>4</v>
      </c>
      <c r="H4" s="16" t="inlineStr">
        <is>
          <t>倍</t>
        </is>
      </c>
      <c r="I4" s="17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18" t="n">
        <v>12</v>
      </c>
      <c r="D5" s="18" t="n">
        <v>12</v>
      </c>
      <c r="E5" s="18" t="n">
        <v>12</v>
      </c>
      <c r="F5" s="18" t="n">
        <v>12</v>
      </c>
      <c r="G5" s="18" t="n">
        <v>12</v>
      </c>
      <c r="H5" s="16" t="inlineStr">
        <is>
          <t>万円/本</t>
        </is>
      </c>
      <c r="I5" s="17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18" t="n">
        <v>20</v>
      </c>
      <c r="D6" s="18" t="n">
        <v>20</v>
      </c>
      <c r="E6" s="18" t="n">
        <v>20</v>
      </c>
      <c r="F6" s="18" t="n">
        <v>20</v>
      </c>
      <c r="G6" s="18" t="n">
        <v>20</v>
      </c>
      <c r="H6" s="16" t="inlineStr">
        <is>
          <t>万円/本</t>
        </is>
      </c>
      <c r="I6" s="17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18" t="n">
        <v>2</v>
      </c>
      <c r="D7" s="18" t="n">
        <v>2</v>
      </c>
      <c r="E7" s="18" t="n">
        <v>2</v>
      </c>
      <c r="F7" s="18" t="n">
        <v>2</v>
      </c>
      <c r="G7" s="18" t="n">
        <v>2</v>
      </c>
      <c r="H7" s="16" t="inlineStr">
        <is>
          <t>万円/本</t>
        </is>
      </c>
      <c r="I7" s="17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5" t="n">
        <v>1.5</v>
      </c>
      <c r="D8" s="15" t="n">
        <v>1.5</v>
      </c>
      <c r="E8" s="15" t="n">
        <v>1.5</v>
      </c>
      <c r="F8" s="15" t="n">
        <v>1.5</v>
      </c>
      <c r="G8" s="15" t="n">
        <v>1.5</v>
      </c>
      <c r="H8" s="16" t="inlineStr">
        <is>
          <t>万円/本</t>
        </is>
      </c>
      <c r="I8" s="17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18" t="n">
        <v>30</v>
      </c>
      <c r="D9" s="18" t="n">
        <v>120</v>
      </c>
      <c r="E9" s="18" t="n">
        <v>450</v>
      </c>
      <c r="F9" s="18" t="n">
        <v>1000</v>
      </c>
      <c r="G9" s="18" t="n">
        <v>1600</v>
      </c>
      <c r="H9" s="16" t="inlineStr">
        <is>
          <t>百万円</t>
        </is>
      </c>
      <c r="I9" s="17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18" t="n">
        <v>0</v>
      </c>
      <c r="D10" s="18" t="n">
        <v>10</v>
      </c>
      <c r="E10" s="18" t="n">
        <v>120</v>
      </c>
      <c r="F10" s="18" t="n">
        <v>450</v>
      </c>
      <c r="G10" s="18" t="n">
        <v>1000</v>
      </c>
      <c r="H10" s="16" t="inlineStr">
        <is>
          <t>百万円</t>
        </is>
      </c>
      <c r="I10" s="17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18" t="n">
        <v>6</v>
      </c>
      <c r="D11" s="18" t="n">
        <v>40</v>
      </c>
      <c r="E11" s="18" t="n">
        <v>90</v>
      </c>
      <c r="F11" s="18" t="n">
        <v>150</v>
      </c>
      <c r="G11" s="18" t="n">
        <v>200</v>
      </c>
      <c r="H11" s="16" t="inlineStr">
        <is>
          <t>百万円</t>
        </is>
      </c>
      <c r="I11" s="17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19" t="n">
        <v>0.06</v>
      </c>
      <c r="D12" s="19" t="n">
        <v>0.06</v>
      </c>
      <c r="E12" s="19" t="n">
        <v>0.06</v>
      </c>
      <c r="F12" s="19" t="n">
        <v>0.06</v>
      </c>
      <c r="G12" s="19" t="n">
        <v>0.06</v>
      </c>
      <c r="H12" s="16" t="inlineStr">
        <is>
          <t>%</t>
        </is>
      </c>
      <c r="I12" s="17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19" t="n">
        <v>0.15</v>
      </c>
      <c r="D13" s="19" t="n">
        <v>0.15</v>
      </c>
      <c r="E13" s="19" t="n">
        <v>0.15</v>
      </c>
      <c r="F13" s="19" t="n">
        <v>0.15</v>
      </c>
      <c r="G13" s="19" t="n">
        <v>0.15</v>
      </c>
      <c r="H13" s="16" t="inlineStr">
        <is>
          <t>%</t>
        </is>
      </c>
      <c r="I13" s="17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19" t="n">
        <v>0</v>
      </c>
      <c r="D14" s="19" t="n">
        <v>0.053</v>
      </c>
      <c r="E14" s="19" t="n">
        <v>0.099</v>
      </c>
      <c r="F14" s="19" t="n">
        <v>0.147</v>
      </c>
      <c r="G14" s="19" t="n">
        <v>0.159</v>
      </c>
      <c r="H14" s="16" t="inlineStr">
        <is>
          <t>%</t>
        </is>
      </c>
      <c r="I14" s="16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19" t="n">
        <v>0.15</v>
      </c>
      <c r="D15" s="19" t="n">
        <v>0.15</v>
      </c>
      <c r="E15" s="19" t="n">
        <v>0.15</v>
      </c>
      <c r="F15" s="19" t="n">
        <v>0.15</v>
      </c>
      <c r="G15" s="19" t="n">
        <v>0.15</v>
      </c>
      <c r="H15" s="16" t="inlineStr">
        <is>
          <t>%</t>
        </is>
      </c>
      <c r="I15" s="17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19" t="n">
        <v>0.04</v>
      </c>
      <c r="D16" s="19" t="n">
        <v>0.04</v>
      </c>
      <c r="E16" s="19" t="n">
        <v>0.04</v>
      </c>
      <c r="F16" s="19" t="n">
        <v>0.04</v>
      </c>
      <c r="G16" s="19" t="n">
        <v>0.04</v>
      </c>
      <c r="H16" s="16" t="inlineStr">
        <is>
          <t>%</t>
        </is>
      </c>
      <c r="I16" s="17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0" t="n">
        <v>1.16</v>
      </c>
      <c r="D17" s="20" t="n">
        <v>1.16</v>
      </c>
      <c r="E17" s="20" t="n">
        <v>1.16</v>
      </c>
      <c r="F17" s="20" t="n">
        <v>1.16</v>
      </c>
      <c r="G17" s="20" t="n">
        <v>1.16</v>
      </c>
      <c r="H17" s="16" t="inlineStr">
        <is>
          <t>倍</t>
        </is>
      </c>
      <c r="I17" s="17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19" t="n">
        <v>0.3</v>
      </c>
      <c r="D18" s="19" t="n">
        <v>0.3</v>
      </c>
      <c r="E18" s="19" t="n">
        <v>0.3</v>
      </c>
      <c r="F18" s="19" t="n">
        <v>0.3</v>
      </c>
      <c r="G18" s="19" t="n">
        <v>0.3</v>
      </c>
      <c r="H18" s="16" t="inlineStr">
        <is>
          <t>%</t>
        </is>
      </c>
      <c r="I18" s="17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18" t="n">
        <v>60</v>
      </c>
      <c r="D19" s="18" t="n">
        <v>60</v>
      </c>
      <c r="E19" s="18" t="n">
        <v>60</v>
      </c>
      <c r="F19" s="18" t="n">
        <v>60</v>
      </c>
      <c r="G19" s="18" t="n">
        <v>60</v>
      </c>
      <c r="H19" s="16" t="inlineStr">
        <is>
          <t>日</t>
        </is>
      </c>
      <c r="I19" s="17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18" t="n">
        <v>30</v>
      </c>
      <c r="D20" s="18" t="n">
        <v>30</v>
      </c>
      <c r="E20" s="18" t="n">
        <v>30</v>
      </c>
      <c r="F20" s="18" t="n">
        <v>30</v>
      </c>
      <c r="G20" s="18" t="n">
        <v>30</v>
      </c>
      <c r="H20" s="16" t="inlineStr">
        <is>
          <t>日</t>
        </is>
      </c>
      <c r="I20" s="17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18" t="n">
        <v>180</v>
      </c>
      <c r="D21" s="18" t="n">
        <v>180</v>
      </c>
      <c r="E21" s="18" t="n">
        <v>180</v>
      </c>
      <c r="F21" s="18" t="n">
        <v>180</v>
      </c>
      <c r="G21" s="18" t="n">
        <v>180</v>
      </c>
      <c r="H21" s="16" t="inlineStr">
        <is>
          <t>日</t>
        </is>
      </c>
      <c r="I21" s="17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6" t="inlineStr">
        <is>
          <t>百万円</t>
        </is>
      </c>
      <c r="I22" s="16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18" t="n">
        <v>150</v>
      </c>
      <c r="D23" s="18" t="n">
        <v>0</v>
      </c>
      <c r="E23" s="18" t="n">
        <v>0</v>
      </c>
      <c r="F23" s="18" t="n">
        <v>0</v>
      </c>
      <c r="G23" s="18" t="n">
        <v>0</v>
      </c>
      <c r="H23" s="16" t="inlineStr">
        <is>
          <t>百万円</t>
        </is>
      </c>
      <c r="I23" s="16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18" t="n">
        <v>0</v>
      </c>
      <c r="D24" s="18" t="n">
        <v>300</v>
      </c>
      <c r="E24" s="18" t="n">
        <v>0</v>
      </c>
      <c r="F24" s="18" t="n">
        <v>0</v>
      </c>
      <c r="G24" s="18" t="n">
        <v>0</v>
      </c>
      <c r="H24" s="16" t="inlineStr">
        <is>
          <t>百万円</t>
        </is>
      </c>
      <c r="I24" s="16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6" t="inlineStr">
        <is>
          <t>百万円</t>
        </is>
      </c>
      <c r="I25" s="16" t="inlineStr">
        <is>
          <t>方針</t>
        </is>
      </c>
      <c r="J25" s="7" t="inlineStr">
        <is>
          <t>借入はしない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18" t="n">
        <v>8935</v>
      </c>
      <c r="C4" s="16" t="inlineStr">
        <is>
          <t>元/月</t>
        </is>
      </c>
      <c r="D4" s="16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18" t="n">
        <v>21</v>
      </c>
      <c r="C5" s="16" t="inlineStr">
        <is>
          <t>円/元</t>
        </is>
      </c>
      <c r="D5" s="17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18" t="n">
        <v>168</v>
      </c>
      <c r="C6" s="16" t="inlineStr">
        <is>
          <t>時間</t>
        </is>
      </c>
      <c r="D6" s="16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1">
        <f>B4*B5/B6</f>
        <v/>
      </c>
      <c r="C7" s="16" t="inlineStr">
        <is>
          <t>円</t>
        </is>
      </c>
      <c r="D7" s="16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0" t="n">
        <v>1.4</v>
      </c>
      <c r="C8" s="16" t="inlineStr">
        <is>
          <t>倍</t>
        </is>
      </c>
      <c r="D8" s="17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2">
        <f>B7*B8</f>
        <v/>
      </c>
      <c r="C9" s="16" t="inlineStr">
        <is>
          <t>円/時</t>
        </is>
      </c>
      <c r="D9" s="16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18" t="n">
        <v>1600</v>
      </c>
      <c r="C10" s="16" t="inlineStr">
        <is>
          <t>円/時</t>
        </is>
      </c>
      <c r="D10" s="17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18" t="n">
        <v>3500</v>
      </c>
      <c r="C11" s="16" t="inlineStr">
        <is>
          <t>円/時</t>
        </is>
      </c>
      <c r="D11" s="17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3">
        <f>'商品マスタ③'!$I$23</f>
        <v/>
      </c>
      <c r="C15" s="16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3">
        <f>'商品マスタ①'!$M$15*1000000/4000</f>
        <v/>
      </c>
      <c r="C16" s="16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16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16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18" t="n">
        <v>690000</v>
      </c>
      <c r="C19" s="16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4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0" t="n">
        <v>3.66</v>
      </c>
      <c r="C4" s="16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0" t="n">
        <v>12.75</v>
      </c>
      <c r="C5" s="16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0" t="n">
        <v>60</v>
      </c>
      <c r="C6" s="16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0" t="n">
        <v>3</v>
      </c>
      <c r="C7" s="16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0" t="n">
        <v>3</v>
      </c>
      <c r="C8" s="16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0" t="n">
        <v>4</v>
      </c>
      <c r="C9" s="16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0" t="n">
        <v>40.5</v>
      </c>
      <c r="C10" s="16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0" t="n">
        <v>31.9</v>
      </c>
      <c r="C11" s="16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5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26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5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26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5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26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5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26">
        <f>SUM(D18:G18)</f>
        <v/>
      </c>
      <c r="I18" s="8" t="n">
        <v>10000</v>
      </c>
    </row>
    <row r="19">
      <c r="A19" s="5" t="inlineStr">
        <is>
          <t>WEBサイト用</t>
        </is>
      </c>
      <c r="B19" s="25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26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5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26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5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26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5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26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5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26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5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26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5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26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5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26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5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26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5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26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27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18" t="n">
        <v>500</v>
      </c>
      <c r="C4" s="19" t="n">
        <v>0.5</v>
      </c>
      <c r="D4" s="28">
        <f>B4*(1-C4)</f>
        <v/>
      </c>
      <c r="E4" s="29">
        <f>B4-D4</f>
        <v/>
      </c>
      <c r="F4" s="20" t="n">
        <v>3</v>
      </c>
      <c r="G4" s="29">
        <f>F4*('前提'!$G$5+'前提'!$G$6/'前提'!$G$4+'前提'!$G$7+'前提'!$G$8)</f>
        <v/>
      </c>
      <c r="H4" s="10">
        <f>1-G4/D4</f>
        <v/>
      </c>
      <c r="I4" s="19" t="n">
        <v>0.04</v>
      </c>
      <c r="J4" s="19" t="n">
        <v>0.08</v>
      </c>
      <c r="K4" s="19" t="n">
        <v>0.12</v>
      </c>
      <c r="L4" s="19" t="n">
        <v>0.13</v>
      </c>
      <c r="M4" s="19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18" t="n">
        <v>200</v>
      </c>
      <c r="C5" s="19" t="n">
        <v>0.5</v>
      </c>
      <c r="D5" s="28">
        <f>B5*(1-C5)</f>
        <v/>
      </c>
      <c r="E5" s="29">
        <f>B5-D5</f>
        <v/>
      </c>
      <c r="F5" s="20" t="n">
        <v>1.8</v>
      </c>
      <c r="G5" s="29">
        <f>F5*('前提'!$G$5+'前提'!$G$6/'前提'!$G$4+'前提'!$G$7+'前提'!$G$8)</f>
        <v/>
      </c>
      <c r="H5" s="10">
        <f>1-G5/D5</f>
        <v/>
      </c>
      <c r="I5" s="19" t="n">
        <v>0.25</v>
      </c>
      <c r="J5" s="19" t="n">
        <v>0.28</v>
      </c>
      <c r="K5" s="19" t="n">
        <v>0.31</v>
      </c>
      <c r="L5" s="19" t="n">
        <v>0.34</v>
      </c>
      <c r="M5" s="19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18" t="n">
        <v>100</v>
      </c>
      <c r="C6" s="19" t="n">
        <v>0.5</v>
      </c>
      <c r="D6" s="28">
        <f>B6*(1-C6)</f>
        <v/>
      </c>
      <c r="E6" s="29">
        <f>B6-D6</f>
        <v/>
      </c>
      <c r="F6" s="20" t="n">
        <v>1</v>
      </c>
      <c r="G6" s="29">
        <f>F6*('前提'!$G$5+'前提'!$G$6/'前提'!$G$4+'前提'!$G$7+'前提'!$G$8)</f>
        <v/>
      </c>
      <c r="H6" s="10">
        <f>1-G6/D6</f>
        <v/>
      </c>
      <c r="I6" s="19" t="n">
        <v>0.46</v>
      </c>
      <c r="J6" s="19" t="n">
        <v>0.42</v>
      </c>
      <c r="K6" s="19" t="n">
        <v>0.38</v>
      </c>
      <c r="L6" s="19" t="n">
        <v>0.36</v>
      </c>
      <c r="M6" s="19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18" t="n">
        <v>60</v>
      </c>
      <c r="C7" s="19" t="n">
        <v>0.5</v>
      </c>
      <c r="D7" s="28">
        <f>B7*(1-C7)</f>
        <v/>
      </c>
      <c r="E7" s="29">
        <f>B7-D7</f>
        <v/>
      </c>
      <c r="F7" s="20" t="n">
        <v>0.8</v>
      </c>
      <c r="G7" s="29">
        <f>F7*('前提'!$G$5+'前提'!$G$6/'前提'!$G$4+'前提'!$G$7+'前提'!$G$8)</f>
        <v/>
      </c>
      <c r="H7" s="10">
        <f>1-G7/D7</f>
        <v/>
      </c>
      <c r="I7" s="19" t="n">
        <v>0.25</v>
      </c>
      <c r="J7" s="19" t="n">
        <v>0.22</v>
      </c>
      <c r="K7" s="19" t="n">
        <v>0.19</v>
      </c>
      <c r="L7" s="19" t="n">
        <v>0.17</v>
      </c>
      <c r="M7" s="19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0">
        <f>SUM(I4:I7)</f>
        <v/>
      </c>
      <c r="J8" s="30">
        <f>SUM(J4:J7)</f>
        <v/>
      </c>
      <c r="K8" s="30">
        <f>SUM(K4:K7)</f>
        <v/>
      </c>
      <c r="L8" s="30">
        <f>SUM(L4:L7)</f>
        <v/>
      </c>
      <c r="M8" s="30">
        <f>SUM(M4:M7)</f>
        <v/>
      </c>
    </row>
    <row r="9">
      <c r="A9" s="4" t="inlineStr">
        <is>
          <t>平均単価（万円）</t>
        </is>
      </c>
      <c r="I9" s="31">
        <f>SUMPRODUCT($D$4:$D$7,I4:I7)</f>
        <v/>
      </c>
      <c r="J9" s="31">
        <f>SUMPRODUCT($D$4:$D$7,J4:J7)</f>
        <v/>
      </c>
      <c r="K9" s="31">
        <f>SUMPRODUCT($D$4:$D$7,K4:K7)</f>
        <v/>
      </c>
      <c r="L9" s="31">
        <f>SUMPRODUCT($D$4:$D$7,L4:L7)</f>
        <v/>
      </c>
      <c r="M9" s="31">
        <f>SUMPRODUCT($D$4:$D$7,M4:M7)</f>
        <v/>
      </c>
    </row>
    <row r="10">
      <c r="A10" s="4" t="inlineStr">
        <is>
          <t>平均難度係数</t>
        </is>
      </c>
      <c r="I10" s="32">
        <f>SUMPRODUCT($F$4:$F$7,I4:I7)</f>
        <v/>
      </c>
      <c r="J10" s="32">
        <f>SUMPRODUCT($F$4:$F$7,J4:J7)</f>
        <v/>
      </c>
      <c r="K10" s="32">
        <f>SUMPRODUCT($F$4:$F$7,K4:K7)</f>
        <v/>
      </c>
      <c r="L10" s="32">
        <f>SUMPRODUCT($F$4:$F$7,L4:L7)</f>
        <v/>
      </c>
      <c r="M10" s="32">
        <f>SUMPRODUCT($F$4:$F$7,M4:M7)</f>
        <v/>
      </c>
    </row>
    <row r="11">
      <c r="A11" s="4" t="inlineStr">
        <is>
          <t>1本あたり原価（万円）</t>
        </is>
      </c>
      <c r="I11" s="33">
        <f>I10*('前提'!$C$5+'前提'!$C$6/'前提'!$C$4+'前提'!$C$7+'前提'!$C$8)</f>
        <v/>
      </c>
      <c r="J11" s="33">
        <f>J10*('前提'!$D$5+'前提'!$D$6/'前提'!$D$4+'前提'!$D$7+'前提'!$D$8)</f>
        <v/>
      </c>
      <c r="K11" s="33">
        <f>K10*('前提'!$E$5+'前提'!$E$6/'前提'!$E$4+'前提'!$E$7+'前提'!$E$8)</f>
        <v/>
      </c>
      <c r="L11" s="33">
        <f>L10*('前提'!$F$5+'前提'!$F$6/'前提'!$F$4+'前提'!$F$7+'前提'!$F$8)</f>
        <v/>
      </c>
      <c r="M11" s="33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3">
        <f>'営業体制'!C$19</f>
        <v/>
      </c>
      <c r="J12" s="23">
        <f>'営業体制'!D$19</f>
        <v/>
      </c>
      <c r="K12" s="23">
        <f>'営業体制'!E$19</f>
        <v/>
      </c>
      <c r="L12" s="23">
        <f>'営業体制'!F$19</f>
        <v/>
      </c>
      <c r="M12" s="23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3">
        <f>I12*SUMPRODUCT($E$4:$E$7,I4:I7)/100</f>
        <v/>
      </c>
      <c r="J14" s="23">
        <f>J12*SUMPRODUCT($E$4:$E$7,J4:J7)/100</f>
        <v/>
      </c>
      <c r="K14" s="23">
        <f>K12*SUMPRODUCT($E$4:$E$7,K4:K7)/100</f>
        <v/>
      </c>
      <c r="L14" s="23">
        <f>L12*SUMPRODUCT($E$4:$E$7,L4:L7)/100</f>
        <v/>
      </c>
      <c r="M14" s="23">
        <f>M12*SUMPRODUCT($E$4:$E$7,M4:M7)/100</f>
        <v/>
      </c>
    </row>
    <row r="15">
      <c r="A15" s="4" t="inlineStr">
        <is>
          <t>クリエイター支払総額（百万円）</t>
        </is>
      </c>
      <c r="I15" s="23">
        <f>I12*I10*'前提'!$C$5/100</f>
        <v/>
      </c>
      <c r="J15" s="23">
        <f>J12*J10*'前提'!$D$5/100</f>
        <v/>
      </c>
      <c r="K15" s="23">
        <f>K12*K10*'前提'!$E$5/100</f>
        <v/>
      </c>
      <c r="L15" s="23">
        <f>L12*L10*'前提'!$F$5/100</f>
        <v/>
      </c>
      <c r="M15" s="23">
        <f>M12*M10*'前提'!$G$5/100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18" t="n">
        <v>1</v>
      </c>
      <c r="D5" s="18" t="n">
        <v>2</v>
      </c>
      <c r="E5" s="18" t="n">
        <v>4</v>
      </c>
      <c r="F5" s="18" t="n">
        <v>5</v>
      </c>
      <c r="G5" s="18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18" t="n">
        <v>15</v>
      </c>
      <c r="D6" s="18" t="n">
        <v>25</v>
      </c>
      <c r="E6" s="18" t="n">
        <v>35</v>
      </c>
      <c r="F6" s="18" t="n">
        <v>40</v>
      </c>
      <c r="G6" s="18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18" t="n">
        <v>4</v>
      </c>
      <c r="D7" s="18" t="n">
        <v>5</v>
      </c>
      <c r="E7" s="18" t="n">
        <v>6</v>
      </c>
      <c r="F7" s="18" t="n">
        <v>6</v>
      </c>
      <c r="G7" s="18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1">
        <f>C5*C6*C7</f>
        <v/>
      </c>
      <c r="D8" s="21">
        <f>D5*D6*D7</f>
        <v/>
      </c>
      <c r="E8" s="21">
        <f>E5*E6*E7</f>
        <v/>
      </c>
      <c r="F8" s="21">
        <f>F5*F6*F7</f>
        <v/>
      </c>
      <c r="G8" s="21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1">
        <f>'商品マスタ②'!C19</f>
        <v/>
      </c>
      <c r="D10" s="21">
        <f>'商品マスタ②'!D19</f>
        <v/>
      </c>
      <c r="E10" s="21">
        <f>'商品マスタ②'!E19</f>
        <v/>
      </c>
      <c r="F10" s="21">
        <f>'商品マスタ②'!F19</f>
        <v/>
      </c>
      <c r="G10" s="21">
        <f>'商品マスタ②'!G19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19" t="n">
        <v>0</v>
      </c>
      <c r="D11" s="19" t="n">
        <v>0.2</v>
      </c>
      <c r="E11" s="19" t="n">
        <v>0.25</v>
      </c>
      <c r="F11" s="19" t="n">
        <v>0.3</v>
      </c>
      <c r="G11" s="19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18" t="n">
        <v>0</v>
      </c>
      <c r="D12" s="18" t="n">
        <v>6</v>
      </c>
      <c r="E12" s="18" t="n">
        <v>7</v>
      </c>
      <c r="F12" s="18" t="n">
        <v>8</v>
      </c>
      <c r="G12" s="18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1">
        <f>ROUND(C10*C11*C12,0)</f>
        <v/>
      </c>
      <c r="D13" s="21">
        <f>ROUND(D10*D11*D12,0)</f>
        <v/>
      </c>
      <c r="E13" s="21">
        <f>ROUND(E10*E11*E12,0)</f>
        <v/>
      </c>
      <c r="F13" s="21">
        <f>ROUND(F10*F11*F12,0)</f>
        <v/>
      </c>
      <c r="G13" s="21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18" t="n">
        <v>0</v>
      </c>
      <c r="D15" s="18" t="n">
        <v>2</v>
      </c>
      <c r="E15" s="18" t="n">
        <v>10</v>
      </c>
      <c r="F15" s="18" t="n">
        <v>25</v>
      </c>
      <c r="G15" s="18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18" t="n">
        <v>0</v>
      </c>
      <c r="D16" s="18" t="n">
        <v>8</v>
      </c>
      <c r="E16" s="18" t="n">
        <v>12</v>
      </c>
      <c r="F16" s="18" t="n">
        <v>15</v>
      </c>
      <c r="G16" s="18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1">
        <f>C15*C16</f>
        <v/>
      </c>
      <c r="D17" s="21">
        <f>D15*D16</f>
        <v/>
      </c>
      <c r="E17" s="21">
        <f>E15*E16</f>
        <v/>
      </c>
      <c r="F17" s="21">
        <f>F15*F16</f>
        <v/>
      </c>
      <c r="G17" s="21">
        <f>G15*G16</f>
        <v/>
      </c>
    </row>
    <row r="18">
      <c r="A18" s="5" t="inlineStr">
        <is>
          <t>4 インバウンド（本）</t>
        </is>
      </c>
      <c r="B18" s="5" t="inlineStr"/>
      <c r="C18" s="18" t="n">
        <v>0</v>
      </c>
      <c r="D18" s="18" t="n">
        <v>20</v>
      </c>
      <c r="E18" s="18" t="n">
        <v>80</v>
      </c>
      <c r="F18" s="18" t="n">
        <v>200</v>
      </c>
      <c r="G18" s="18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3">
        <f>C5*C6+ROUND(C10*C11,0)+C15</f>
        <v/>
      </c>
      <c r="D22" s="23">
        <f>D5*D6+ROUND(D10*D11,0)+D15</f>
        <v/>
      </c>
      <c r="E22" s="23">
        <f>E5*E6+ROUND(E10*E11,0)+E15</f>
        <v/>
      </c>
      <c r="F22" s="23">
        <f>F5*F6+ROUND(F10*F11,0)+F15</f>
        <v/>
      </c>
      <c r="G22" s="23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3">
        <f>IF(C22=0,0,'商品マスタ①'!I13*100/C22)</f>
        <v/>
      </c>
      <c r="D23" s="23">
        <f>IF(D22=0,0,'商品マスタ①'!J13*100/D22)</f>
        <v/>
      </c>
      <c r="E23" s="23">
        <f>IF(E22=0,0,'商品マスタ①'!K13*100/E22)</f>
        <v/>
      </c>
      <c r="F23" s="23">
        <f>IF(F22=0,0,'商品マスタ①'!L13*100/F22)</f>
        <v/>
      </c>
      <c r="G23" s="23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0">
        <f>IF('商品マスタ①'!I13=0,0,C8*'商品マスタ①'!I9/100/'商品マスタ①'!I13)</f>
        <v/>
      </c>
      <c r="D24" s="30">
        <f>IF('商品マスタ①'!J13=0,0,D8*'商品マスタ①'!J9/100/'商品マスタ①'!J13)</f>
        <v/>
      </c>
      <c r="E24" s="30">
        <f>IF('商品マスタ①'!K13=0,0,E8*'商品マスタ①'!K9/100/'商品マスタ①'!K13)</f>
        <v/>
      </c>
      <c r="F24" s="30">
        <f>IF('商品マスタ①'!L13=0,0,F8*'商品マスタ①'!L9/100/'商品マスタ①'!L13)</f>
        <v/>
      </c>
      <c r="G24" s="30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16" t="inlineStr">
        <is>
          <t>年額</t>
        </is>
      </c>
      <c r="C4" s="18" t="n">
        <v>300</v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16" t="inlineStr">
        <is>
          <t>年額</t>
        </is>
      </c>
      <c r="C5" s="18" t="n">
        <v>100</v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16" t="inlineStr">
        <is>
          <t>月額2万/席</t>
        </is>
      </c>
      <c r="C6" s="18" t="n">
        <v>24</v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16" t="inlineStr">
        <is>
          <t>年額</t>
        </is>
      </c>
      <c r="C7" s="18" t="n">
        <v>24</v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16" t="inlineStr">
        <is>
          <t>初期・都度</t>
        </is>
      </c>
      <c r="C8" s="18" t="n">
        <v>80</v>
      </c>
      <c r="J8" s="7" t="inlineStr">
        <is>
          <t>顧客のブランド・商品を学習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18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18" t="n">
        <v>3</v>
      </c>
    </row>
    <row r="15">
      <c r="A15" s="4" t="inlineStr">
        <is>
          <t>LoRA個別構築の付帯率</t>
        </is>
      </c>
      <c r="B15" s="19" t="n">
        <v>0.25</v>
      </c>
      <c r="C15" s="21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法人契約数</t>
        </is>
      </c>
      <c r="B19" s="5" t="inlineStr"/>
      <c r="C19" s="18" t="n">
        <v>0</v>
      </c>
      <c r="D19" s="18" t="n">
        <v>15</v>
      </c>
      <c r="E19" s="18" t="n">
        <v>100</v>
      </c>
      <c r="F19" s="18" t="n">
        <v>320</v>
      </c>
      <c r="G19" s="18" t="n">
        <v>600</v>
      </c>
      <c r="J19" s="7" t="inlineStr">
        <is>
          <t>★海外展開が前提</t>
        </is>
      </c>
    </row>
    <row r="20">
      <c r="A20" s="5" t="inlineStr">
        <is>
          <t>Enterprise比率</t>
        </is>
      </c>
      <c r="B20" s="5" t="inlineStr"/>
      <c r="C20" s="19" t="n">
        <v>0</v>
      </c>
      <c r="D20" s="19" t="n">
        <v>0.13</v>
      </c>
      <c r="E20" s="19" t="n">
        <v>0.2</v>
      </c>
      <c r="F20" s="19" t="n">
        <v>0.25</v>
      </c>
      <c r="G20" s="19" t="n">
        <v>0.3</v>
      </c>
      <c r="J20" s="7" t="inlineStr">
        <is>
          <t>★事例が増えるほど上位プランが取れる</t>
        </is>
      </c>
    </row>
    <row r="21">
      <c r="A21" s="4" t="inlineStr">
        <is>
          <t xml:space="preserve">　Enterprise 社数</t>
        </is>
      </c>
      <c r="B21" s="5" t="inlineStr"/>
      <c r="C21" s="23">
        <f>ROUND(C19*C20,0)</f>
        <v/>
      </c>
      <c r="D21" s="23">
        <f>ROUND(D19*D20,0)</f>
        <v/>
      </c>
      <c r="E21" s="23">
        <f>ROUND(E19*E20,0)</f>
        <v/>
      </c>
      <c r="F21" s="23">
        <f>ROUND(F19*F20,0)</f>
        <v/>
      </c>
      <c r="G21" s="23">
        <f>ROUND(G19*G20,0)</f>
        <v/>
      </c>
    </row>
    <row r="22">
      <c r="A22" s="4" t="inlineStr">
        <is>
          <t xml:space="preserve">　Standard 社数</t>
        </is>
      </c>
      <c r="B22" s="5" t="inlineStr"/>
      <c r="C22" s="23">
        <f>C19-C21</f>
        <v/>
      </c>
      <c r="D22" s="23">
        <f>D19-D21</f>
        <v/>
      </c>
      <c r="E22" s="23">
        <f>E19-E21</f>
        <v/>
      </c>
      <c r="F22" s="23">
        <f>F19-F21</f>
        <v/>
      </c>
      <c r="G22" s="23">
        <f>G19-G21</f>
        <v/>
      </c>
    </row>
    <row r="23">
      <c r="A23" s="4" t="inlineStr">
        <is>
          <t>積み上げACV（万円）</t>
        </is>
      </c>
      <c r="B23" s="5" t="inlineStr"/>
      <c r="C23" s="23">
        <f>IF(C19=0,0,(C21*$E$12+C22*$E$13)/C19+$C$15)</f>
        <v/>
      </c>
      <c r="D23" s="23">
        <f>IF(D19=0,0,(D21*$E$12+D22*$E$13)/D19+$C$15)</f>
        <v/>
      </c>
      <c r="E23" s="23">
        <f>IF(E19=0,0,(E21*$E$12+E22*$E$13)/E19+$C$15)</f>
        <v/>
      </c>
      <c r="F23" s="23">
        <f>IF(F19=0,0,(F21*$E$12+F22*$E$13)/F19+$C$15)</f>
        <v/>
      </c>
      <c r="G23" s="23">
        <f>IF(G19=0,0,(G21*$E$12+G22*$E$13)/G19+$C$15)</f>
        <v/>
      </c>
      <c r="J23" s="7" t="inlineStr">
        <is>
          <t>一本値ではなく積み上げ</t>
        </is>
      </c>
    </row>
    <row r="24">
      <c r="A24" s="4" t="inlineStr">
        <is>
          <t>法人売上（百万円）</t>
        </is>
      </c>
      <c r="B24" s="5" t="inlineStr"/>
      <c r="C24" s="21">
        <f>C19*C23/100</f>
        <v/>
      </c>
      <c r="D24" s="21">
        <f>D19*D23/100</f>
        <v/>
      </c>
      <c r="E24" s="21">
        <f>E19*E23/100</f>
        <v/>
      </c>
      <c r="F24" s="21">
        <f>F19*F23/100</f>
        <v/>
      </c>
      <c r="G24" s="21">
        <f>G19*G23/100</f>
        <v/>
      </c>
    </row>
    <row r="25">
      <c r="A25" s="5" t="inlineStr">
        <is>
          <t>個人契約数</t>
        </is>
      </c>
      <c r="B25" s="5" t="inlineStr"/>
      <c r="C25" s="18" t="n">
        <v>0</v>
      </c>
      <c r="D25" s="18" t="n">
        <v>0</v>
      </c>
      <c r="E25" s="18" t="n">
        <v>2000</v>
      </c>
      <c r="F25" s="18" t="n">
        <v>8000</v>
      </c>
      <c r="G25" s="18" t="n">
        <v>17000</v>
      </c>
      <c r="J25" s="7" t="inlineStr">
        <is>
          <t>★プロクリエイター</t>
        </is>
      </c>
    </row>
    <row r="26">
      <c r="A26" s="5" t="inlineStr">
        <is>
          <t>個人ACV（万円）</t>
        </is>
      </c>
      <c r="B26" s="5" t="inlineStr"/>
      <c r="C26" s="18" t="n">
        <v>12</v>
      </c>
      <c r="D26" s="18" t="n">
        <v>12</v>
      </c>
      <c r="E26" s="18" t="n">
        <v>12</v>
      </c>
      <c r="F26" s="18" t="n">
        <v>12</v>
      </c>
      <c r="G26" s="18" t="n">
        <v>12</v>
      </c>
      <c r="J26" s="7" t="inlineStr">
        <is>
          <t>月1万円（チェックポイント6千＋工程ツール4千）</t>
        </is>
      </c>
    </row>
    <row r="27">
      <c r="A27" s="4" t="inlineStr">
        <is>
          <t>個人売上（百万円）</t>
        </is>
      </c>
      <c r="B27" s="5" t="inlineStr"/>
      <c r="C27" s="21">
        <f>C25*C26/100</f>
        <v/>
      </c>
      <c r="D27" s="21">
        <f>D25*D26/100</f>
        <v/>
      </c>
      <c r="E27" s="21">
        <f>E25*E26/100</f>
        <v/>
      </c>
      <c r="F27" s="21">
        <f>F25*F26/100</f>
        <v/>
      </c>
      <c r="G27" s="21">
        <f>G25*G26/100</f>
        <v/>
      </c>
    </row>
    <row r="29">
      <c r="A29" s="12" t="inlineStr">
        <is>
          <t>②-C 個人セルフサーブ（用途特化・フリーミアム）</t>
        </is>
      </c>
    </row>
    <row r="30" ht="24" customHeight="1">
      <c r="A30" s="3" t="inlineStr">
        <is>
          <t>項目</t>
        </is>
      </c>
      <c r="B30" s="3" t="inlineStr"/>
      <c r="C30" s="3" t="inlineStr">
        <is>
          <t>1期</t>
        </is>
      </c>
      <c r="D30" s="3" t="inlineStr">
        <is>
          <t>2期</t>
        </is>
      </c>
      <c r="E30" s="3" t="inlineStr">
        <is>
          <t>3期</t>
        </is>
      </c>
      <c r="F30" s="3" t="inlineStr">
        <is>
          <t>4期</t>
        </is>
      </c>
      <c r="G30" s="3" t="inlineStr">
        <is>
          <t>5期</t>
        </is>
      </c>
      <c r="H30" s="3" t="inlineStr"/>
      <c r="I30" s="3" t="inlineStr"/>
      <c r="J30" s="3" t="inlineStr">
        <is>
          <t>考え方</t>
        </is>
      </c>
    </row>
    <row r="31">
      <c r="A31" s="5" t="inlineStr">
        <is>
          <t>登録ユーザー（累計）</t>
        </is>
      </c>
      <c r="B31" s="5" t="inlineStr"/>
      <c r="C31" s="18" t="n">
        <v>0</v>
      </c>
      <c r="D31" s="18" t="n">
        <v>30000</v>
      </c>
      <c r="E31" s="18" t="n">
        <v>120000</v>
      </c>
      <c r="F31" s="18" t="n">
        <v>280000</v>
      </c>
      <c r="G31" s="18" t="n">
        <v>500000</v>
      </c>
      <c r="J31" s="7" t="inlineStr">
        <is>
          <t>★テンプレートは③-Aの6商品に固定</t>
        </is>
      </c>
    </row>
    <row r="32">
      <c r="A32" s="5" t="inlineStr">
        <is>
          <t>有料転換率</t>
        </is>
      </c>
      <c r="B32" s="5" t="inlineStr"/>
      <c r="C32" s="19" t="n">
        <v>0</v>
      </c>
      <c r="D32" s="19" t="n">
        <v>0.05</v>
      </c>
      <c r="E32" s="19" t="n">
        <v>0.06</v>
      </c>
      <c r="F32" s="19" t="n">
        <v>0.07000000000000001</v>
      </c>
      <c r="G32" s="19" t="n">
        <v>0.08</v>
      </c>
      <c r="J32" s="7" t="inlineStr">
        <is>
          <t>★</t>
        </is>
      </c>
    </row>
    <row r="33">
      <c r="A33" s="4" t="inlineStr">
        <is>
          <t xml:space="preserve">　有料ユーザー</t>
        </is>
      </c>
      <c r="B33" s="5" t="inlineStr"/>
      <c r="C33" s="23">
        <f>ROUND(C31*C32,0)</f>
        <v/>
      </c>
      <c r="D33" s="23">
        <f>ROUND(D31*D32,0)</f>
        <v/>
      </c>
      <c r="E33" s="23">
        <f>ROUND(E31*E32,0)</f>
        <v/>
      </c>
      <c r="F33" s="23">
        <f>ROUND(F31*F32,0)</f>
        <v/>
      </c>
      <c r="G33" s="23">
        <f>ROUND(G31*G32,0)</f>
        <v/>
      </c>
    </row>
    <row r="34">
      <c r="A34" s="5" t="inlineStr">
        <is>
          <t>ARPPU（円/年）</t>
        </is>
      </c>
      <c r="B34" s="5" t="inlineStr"/>
      <c r="C34" s="18" t="n">
        <v>0</v>
      </c>
      <c r="D34" s="18" t="n">
        <v>4000</v>
      </c>
      <c r="E34" s="18" t="n">
        <v>4000</v>
      </c>
      <c r="F34" s="18" t="n">
        <v>4000</v>
      </c>
      <c r="G34" s="18" t="n">
        <v>4000</v>
      </c>
      <c r="J34" s="7" t="inlineStr">
        <is>
          <t>★都度1,500円/本と月額980円の混合</t>
        </is>
      </c>
    </row>
    <row r="35">
      <c r="A35" s="4" t="inlineStr">
        <is>
          <t>②-C 売上（百万円）</t>
        </is>
      </c>
      <c r="B35" s="5" t="inlineStr"/>
      <c r="C35" s="21">
        <f>C33*C34/1000000</f>
        <v/>
      </c>
      <c r="D35" s="21">
        <f>D33*D34/1000000</f>
        <v/>
      </c>
      <c r="E35" s="21">
        <f>E33*E34/1000000</f>
        <v/>
      </c>
      <c r="F35" s="21">
        <f>F33*F34/1000000</f>
        <v/>
      </c>
      <c r="G35" s="21">
        <f>G33*G34/1000000</f>
        <v/>
      </c>
    </row>
    <row r="36">
      <c r="A36" s="4" t="inlineStr">
        <is>
          <t>年間出力本数（データ）</t>
        </is>
      </c>
      <c r="B36" s="5" t="inlineStr"/>
      <c r="C36" s="23">
        <f>ROUND(C33*2.5,0)</f>
        <v/>
      </c>
      <c r="D36" s="23">
        <f>ROUND(D33*2.5,0)</f>
        <v/>
      </c>
      <c r="E36" s="23">
        <f>ROUND(E33*2.5,0)</f>
        <v/>
      </c>
      <c r="F36" s="23">
        <f>ROUND(F33*2.5,0)</f>
        <v/>
      </c>
      <c r="G36" s="23">
        <f>ROUND(G33*2.5,0)</f>
        <v/>
      </c>
      <c r="J36" s="7" t="inlineStr">
        <is>
          <t>却下された中間生成物も学習に回る</t>
        </is>
      </c>
    </row>
    <row r="38">
      <c r="A38" s="4" t="inlineStr">
        <is>
          <t>② 売上 合計（百万円）</t>
        </is>
      </c>
      <c r="B38" s="5" t="inlineStr"/>
      <c r="C38" s="6">
        <f>C24+C27+C35</f>
        <v/>
      </c>
      <c r="D38" s="6">
        <f>D24+D27+D35</f>
        <v/>
      </c>
      <c r="E38" s="6">
        <f>E24+E27+E35</f>
        <v/>
      </c>
      <c r="F38" s="6">
        <f>F24+F27+F35</f>
        <v/>
      </c>
      <c r="G38" s="6">
        <f>G24+G27+G35</f>
        <v/>
      </c>
    </row>
    <row r="39">
      <c r="A39" s="4" t="inlineStr">
        <is>
          <t>② 粗利率</t>
        </is>
      </c>
      <c r="B39" s="19" t="n">
        <v>0.8</v>
      </c>
      <c r="J39" s="7" t="inlineStr">
        <is>
          <t>★ソフトウェア外販の一般水準</t>
        </is>
      </c>
    </row>
    <row r="40">
      <c r="A40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9" customWidth="1" min="3" max="3"/>
    <col width="9" customWidth="1" min="4" max="4"/>
    <col width="12" customWidth="1" min="5" max="5"/>
    <col width="13" customWidth="1" min="6" max="6"/>
    <col width="12" customWidth="1" min="7" max="7"/>
    <col width="11" customWidth="1" min="8" max="8"/>
    <col width="12" customWidth="1" min="9" max="9"/>
    <col width="13" customWidth="1" min="10" max="10"/>
    <col width="34" customWidth="1" min="11" max="11"/>
  </cols>
  <sheetData>
    <row r="1">
      <c r="A1" s="1" t="inlineStr">
        <is>
          <t>③ 越境C2C — 商品別</t>
        </is>
      </c>
    </row>
    <row r="2">
      <c r="A2" s="2" t="inlineStr">
        <is>
          <t>下限はクリエイターの留保価格（工数×時給÷(1−手数料)）。上限は日本の発注者の支払意思。両側から挟まれた中で価格が決まる。★上限・工数・件数は提案値。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工数min</t>
        </is>
      </c>
      <c r="D3" s="3" t="inlineStr">
        <is>
          <t>工数max</t>
        </is>
      </c>
      <c r="E3" s="3" t="inlineStr">
        <is>
          <t>下限（供給）</t>
        </is>
      </c>
      <c r="F3" s="3" t="inlineStr">
        <is>
          <t>上限（需要）</t>
        </is>
      </c>
      <c r="G3" s="3" t="inlineStr">
        <is>
          <t>中点</t>
        </is>
      </c>
      <c r="H3" s="3" t="inlineStr">
        <is>
          <t>5期件数</t>
        </is>
      </c>
      <c r="I3" s="3" t="inlineStr">
        <is>
          <t>年間工数</t>
        </is>
      </c>
      <c r="J3" s="3" t="inlineStr">
        <is>
          <t>5期GMV(百万)</t>
        </is>
      </c>
      <c r="K3" s="3" t="inlineStr">
        <is>
          <t>上限の根拠</t>
        </is>
      </c>
    </row>
    <row r="5">
      <c r="A5" s="5" t="inlineStr">
        <is>
          <t>SNS用ショート</t>
        </is>
      </c>
      <c r="B5" s="34" t="inlineStr">
        <is>
          <t>A</t>
        </is>
      </c>
      <c r="C5" s="25" t="n">
        <v>0.5</v>
      </c>
      <c r="D5" s="25" t="n">
        <v>1.5</v>
      </c>
      <c r="E5" s="23">
        <f>ROUNDUP('クリエイター経済'!$B$10*C5/(1-$B$26)/500,0)*500</f>
        <v/>
      </c>
      <c r="F5" s="18" t="n">
        <v>10000</v>
      </c>
      <c r="G5" s="6">
        <f>(E5+F5)/2</f>
        <v/>
      </c>
      <c r="H5" s="18" t="n">
        <v>25000</v>
      </c>
      <c r="I5" s="8">
        <f>(C5+D5)/2*H5</f>
        <v/>
      </c>
      <c r="J5" s="29">
        <f>G5*H5/1000000</f>
        <v/>
      </c>
      <c r="K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34" t="inlineStr">
        <is>
          <t>A</t>
        </is>
      </c>
      <c r="C6" s="25" t="n">
        <v>1</v>
      </c>
      <c r="D6" s="25" t="n">
        <v>2.5</v>
      </c>
      <c r="E6" s="23">
        <f>ROUNDUP('クリエイター経済'!$B$10*C6/(1-$B$26)/500,0)*500</f>
        <v/>
      </c>
      <c r="F6" s="18" t="n">
        <v>15000</v>
      </c>
      <c r="G6" s="6">
        <f>(E6+F6)/2</f>
        <v/>
      </c>
      <c r="H6" s="18" t="n">
        <v>12000</v>
      </c>
      <c r="I6" s="8">
        <f>(C6+D6)/2*H6</f>
        <v/>
      </c>
      <c r="J6" s="29">
        <f>G6*H6/1000000</f>
        <v/>
      </c>
      <c r="K6" s="7" t="inlineStr">
        <is>
          <t>サプライズ動画 数千〜2万</t>
        </is>
      </c>
    </row>
    <row r="7">
      <c r="A7" s="5" t="inlineStr">
        <is>
          <t>記念日ムービー</t>
        </is>
      </c>
      <c r="B7" s="34" t="inlineStr">
        <is>
          <t>A</t>
        </is>
      </c>
      <c r="C7" s="25" t="n">
        <v>1</v>
      </c>
      <c r="D7" s="25" t="n">
        <v>3</v>
      </c>
      <c r="E7" s="23">
        <f>ROUNDUP('クリエイター経済'!$B$10*C7/(1-$B$26)/500,0)*500</f>
        <v/>
      </c>
      <c r="F7" s="18" t="n">
        <v>18000</v>
      </c>
      <c r="G7" s="6">
        <f>(E7+F7)/2</f>
        <v/>
      </c>
      <c r="H7" s="18" t="n">
        <v>8000</v>
      </c>
      <c r="I7" s="8">
        <f>(C7+D7)/2*H7</f>
        <v/>
      </c>
      <c r="J7" s="29">
        <f>G7*H7/1000000</f>
        <v/>
      </c>
      <c r="K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34" t="inlineStr">
        <is>
          <t>A</t>
        </is>
      </c>
      <c r="C8" s="25" t="n">
        <v>2</v>
      </c>
      <c r="D8" s="25" t="n">
        <v>5</v>
      </c>
      <c r="E8" s="23">
        <f>ROUNDUP('クリエイター経済'!$B$10*C8/(1-$B$26)/500,0)*500</f>
        <v/>
      </c>
      <c r="F8" s="18" t="n">
        <v>30000</v>
      </c>
      <c r="G8" s="6">
        <f>(E8+F8)/2</f>
        <v/>
      </c>
      <c r="H8" s="18" t="n">
        <v>10000</v>
      </c>
      <c r="I8" s="8">
        <f>(C8+D8)/2*H8</f>
        <v/>
      </c>
      <c r="J8" s="29">
        <f>G8*H8/1000000</f>
        <v/>
      </c>
      <c r="K8" s="7" t="inlineStr">
        <is>
          <t>二次会・余興 1〜5万</t>
        </is>
      </c>
    </row>
    <row r="9">
      <c r="A9" s="5" t="inlineStr">
        <is>
          <t>WEBサイト用</t>
        </is>
      </c>
      <c r="B9" s="34" t="inlineStr">
        <is>
          <t>A</t>
        </is>
      </c>
      <c r="C9" s="25" t="n">
        <v>3</v>
      </c>
      <c r="D9" s="25" t="n">
        <v>8</v>
      </c>
      <c r="E9" s="23">
        <f>ROUNDUP('クリエイター経済'!$B$10*C9/(1-$B$26)/500,0)*500</f>
        <v/>
      </c>
      <c r="F9" s="18" t="n">
        <v>50000</v>
      </c>
      <c r="G9" s="6">
        <f>(E9+F9)/2</f>
        <v/>
      </c>
      <c r="H9" s="18" t="n">
        <v>6000</v>
      </c>
      <c r="I9" s="8">
        <f>(C9+D9)/2*H9</f>
        <v/>
      </c>
      <c r="J9" s="29">
        <f>G9*H9/1000000</f>
        <v/>
      </c>
      <c r="K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34" t="inlineStr">
        <is>
          <t>A</t>
        </is>
      </c>
      <c r="C10" s="25" t="n">
        <v>5</v>
      </c>
      <c r="D10" s="25" t="n">
        <v>15</v>
      </c>
      <c r="E10" s="23">
        <f>ROUNDUP('クリエイター経済'!$B$10*C10/(1-$B$26)/500,0)*500</f>
        <v/>
      </c>
      <c r="F10" s="18" t="n">
        <v>80000</v>
      </c>
      <c r="G10" s="6">
        <f>(E10+F10)/2</f>
        <v/>
      </c>
      <c r="H10" s="18" t="n">
        <v>9000</v>
      </c>
      <c r="I10" s="8">
        <f>(C10+D10)/2*H10</f>
        <v/>
      </c>
      <c r="J10" s="29">
        <f>G10*H10/1000000</f>
        <v/>
      </c>
      <c r="K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34" t="inlineStr">
        <is>
          <t>B</t>
        </is>
      </c>
      <c r="C11" s="25" t="n">
        <v>6</v>
      </c>
      <c r="D11" s="25" t="n">
        <v>12</v>
      </c>
      <c r="E11" s="23">
        <f>ROUNDUP('クリエイター経済'!$B$10*C11/(1-$B$26)/500,0)*500</f>
        <v/>
      </c>
      <c r="F11" s="18" t="n">
        <v>120000</v>
      </c>
      <c r="G11" s="6">
        <f>(E11+F11)/2</f>
        <v/>
      </c>
      <c r="H11" s="18" t="n">
        <v>4000</v>
      </c>
      <c r="I11" s="8">
        <f>(C11+D11)/2*H11</f>
        <v/>
      </c>
      <c r="J11" s="29">
        <f>G11*H11/1000000</f>
        <v/>
      </c>
      <c r="K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34" t="inlineStr">
        <is>
          <t>B</t>
        </is>
      </c>
      <c r="C12" s="25" t="n">
        <v>8</v>
      </c>
      <c r="D12" s="25" t="n">
        <v>16</v>
      </c>
      <c r="E12" s="23">
        <f>ROUNDUP('クリエイター経済'!$B$10*C12/(1-$B$26)/500,0)*500</f>
        <v/>
      </c>
      <c r="F12" s="18" t="n">
        <v>180000</v>
      </c>
      <c r="G12" s="6">
        <f>(E12+F12)/2</f>
        <v/>
      </c>
      <c r="H12" s="18" t="n">
        <v>2500</v>
      </c>
      <c r="I12" s="8">
        <f>(C12+D12)/2*H12</f>
        <v/>
      </c>
      <c r="J12" s="29">
        <f>G12*H12/1000000</f>
        <v/>
      </c>
      <c r="K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34" t="inlineStr">
        <is>
          <t>B</t>
        </is>
      </c>
      <c r="C13" s="25" t="n">
        <v>6</v>
      </c>
      <c r="D13" s="25" t="n">
        <v>14</v>
      </c>
      <c r="E13" s="23">
        <f>ROUNDUP('クリエイター経済'!$B$10*C13/(1-$B$26)/500,0)*500</f>
        <v/>
      </c>
      <c r="F13" s="18" t="n">
        <v>150000</v>
      </c>
      <c r="G13" s="6">
        <f>(E13+F13)/2</f>
        <v/>
      </c>
      <c r="H13" s="18" t="n">
        <v>5000</v>
      </c>
      <c r="I13" s="8">
        <f>(C13+D13)/2*H13</f>
        <v/>
      </c>
      <c r="J13" s="29">
        <f>G13*H13/1000000</f>
        <v/>
      </c>
      <c r="K13" s="7" t="inlineStr">
        <is>
          <t>機能数で振れる</t>
        </is>
      </c>
    </row>
    <row r="14">
      <c r="A14" s="5" t="inlineStr">
        <is>
          <t>店舗・施設紹介</t>
        </is>
      </c>
      <c r="B14" s="34" t="inlineStr">
        <is>
          <t>B</t>
        </is>
      </c>
      <c r="C14" s="25" t="n">
        <v>5</v>
      </c>
      <c r="D14" s="25" t="n">
        <v>10</v>
      </c>
      <c r="E14" s="23">
        <f>ROUNDUP('クリエイター経済'!$B$10*C14/(1-$B$26)/500,0)*500</f>
        <v/>
      </c>
      <c r="F14" s="18" t="n">
        <v>100000</v>
      </c>
      <c r="G14" s="6">
        <f>(E14+F14)/2</f>
        <v/>
      </c>
      <c r="H14" s="18" t="n">
        <v>3500</v>
      </c>
      <c r="I14" s="8">
        <f>(C14+D14)/2*H14</f>
        <v/>
      </c>
      <c r="J14" s="29">
        <f>G14*H14/1000000</f>
        <v/>
      </c>
      <c r="K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34" t="inlineStr">
        <is>
          <t>B</t>
        </is>
      </c>
      <c r="C15" s="25" t="n">
        <v>4</v>
      </c>
      <c r="D15" s="25" t="n">
        <v>9</v>
      </c>
      <c r="E15" s="23">
        <f>ROUNDUP('クリエイター経済'!$B$10*C15/(1-$B$26)/500,0)*500</f>
        <v/>
      </c>
      <c r="F15" s="18" t="n">
        <v>80000</v>
      </c>
      <c r="G15" s="6">
        <f>(E15+F15)/2</f>
        <v/>
      </c>
      <c r="H15" s="18" t="n">
        <v>2000</v>
      </c>
      <c r="I15" s="8">
        <f>(C15+D15)/2*H15</f>
        <v/>
      </c>
      <c r="J15" s="29">
        <f>G15*H15/1000000</f>
        <v/>
      </c>
      <c r="K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34" t="inlineStr">
        <is>
          <t>B</t>
        </is>
      </c>
      <c r="C16" s="25" t="n">
        <v>6</v>
      </c>
      <c r="D16" s="25" t="n">
        <v>12</v>
      </c>
      <c r="E16" s="23">
        <f>ROUNDUP('クリエイター経済'!$B$10*C16/(1-$B$26)/500,0)*500</f>
        <v/>
      </c>
      <c r="F16" s="18" t="n">
        <v>120000</v>
      </c>
      <c r="G16" s="6">
        <f>(E16+F16)/2</f>
        <v/>
      </c>
      <c r="H16" s="18" t="n">
        <v>6000</v>
      </c>
      <c r="I16" s="8">
        <f>(C16+D16)/2*H16</f>
        <v/>
      </c>
      <c r="J16" s="29">
        <f>G16*H16/1000000</f>
        <v/>
      </c>
      <c r="K16" s="7" t="inlineStr">
        <is>
          <t>3本セット</t>
        </is>
      </c>
    </row>
    <row r="17">
      <c r="A17" s="5" t="inlineStr">
        <is>
          <t>個人オーダーメイド</t>
        </is>
      </c>
      <c r="B17" s="34" t="inlineStr">
        <is>
          <t>C</t>
        </is>
      </c>
      <c r="C17" s="25" t="n">
        <v>3</v>
      </c>
      <c r="D17" s="25" t="n">
        <v>10</v>
      </c>
      <c r="E17" s="23">
        <f>ROUNDUP('クリエイター経済'!$B$10*C17/(1-$B$26)/500,0)*500</f>
        <v/>
      </c>
      <c r="F17" s="18" t="n">
        <v>150000</v>
      </c>
      <c r="G17" s="6">
        <f>(E17+F17)/2</f>
        <v/>
      </c>
      <c r="H17" s="18" t="n">
        <v>8000</v>
      </c>
      <c r="I17" s="8">
        <f>(C17+D17)/2*H17</f>
        <v/>
      </c>
      <c r="J17" s="29">
        <f>G17*H17/1000000</f>
        <v/>
      </c>
      <c r="K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34" t="inlineStr">
        <is>
          <t>C</t>
        </is>
      </c>
      <c r="C18" s="25" t="n">
        <v>10</v>
      </c>
      <c r="D18" s="25" t="n">
        <v>50</v>
      </c>
      <c r="E18" s="23">
        <f>ROUNDUP('クリエイター経済'!$B$10*C18/(1-$B$26)/500,0)*500</f>
        <v/>
      </c>
      <c r="F18" s="18" t="n">
        <v>1000000</v>
      </c>
      <c r="G18" s="6">
        <f>(E18+F18)/2</f>
        <v/>
      </c>
      <c r="H18" s="18" t="n">
        <v>12000</v>
      </c>
      <c r="I18" s="8">
        <f>(C18+D18)/2*H18</f>
        <v/>
      </c>
      <c r="J18" s="29">
        <f>G18*H18/1000000</f>
        <v/>
      </c>
      <c r="K18" s="7" t="inlineStr">
        <is>
          <t>上限100万［Ver1.2の決定］</t>
        </is>
      </c>
    </row>
    <row r="20">
      <c r="A20" s="4" t="inlineStr">
        <is>
          <t>小計 ③-A 個人パッケージ</t>
        </is>
      </c>
      <c r="B20" s="34" t="inlineStr">
        <is>
          <t>A</t>
        </is>
      </c>
      <c r="H20" s="21">
        <f>SUMIF($B$5:$B$18,"A",H$5:H$18)</f>
        <v/>
      </c>
      <c r="I20" s="21">
        <f>SUMIF($B$5:$B$18,"A",I$5:I$18)</f>
        <v/>
      </c>
      <c r="J20" s="28">
        <f>SUMIF($B$5:$B$18,"A",J$5:J$18)</f>
        <v/>
      </c>
    </row>
    <row r="21">
      <c r="A21" s="4" t="inlineStr">
        <is>
          <t>小計 ③-B 中小企業</t>
        </is>
      </c>
      <c r="B21" s="34" t="inlineStr">
        <is>
          <t>B</t>
        </is>
      </c>
      <c r="H21" s="21">
        <f>SUMIF($B$5:$B$18,"B",H$5:H$18)</f>
        <v/>
      </c>
      <c r="I21" s="21">
        <f>SUMIF($B$5:$B$18,"B",I$5:I$18)</f>
        <v/>
      </c>
      <c r="J21" s="28">
        <f>SUMIF($B$5:$B$18,"B",J$5:J$18)</f>
        <v/>
      </c>
    </row>
    <row r="22">
      <c r="A22" s="4" t="inlineStr">
        <is>
          <t>小計 ③-C オーダーメイド</t>
        </is>
      </c>
      <c r="B22" s="34" t="inlineStr">
        <is>
          <t>C</t>
        </is>
      </c>
      <c r="H22" s="21">
        <f>SUMIF($B$5:$B$18,"C",H$5:H$18)</f>
        <v/>
      </c>
      <c r="I22" s="21">
        <f>SUMIF($B$5:$B$18,"C",I$5:I$18)</f>
        <v/>
      </c>
      <c r="J22" s="28">
        <f>SUMIF($B$5:$B$18,"C",J$5:J$18)</f>
        <v/>
      </c>
    </row>
    <row r="23">
      <c r="A23" s="4" t="inlineStr">
        <is>
          <t>合計</t>
        </is>
      </c>
      <c r="H23" s="6">
        <f>SUM(H20:H22)</f>
        <v/>
      </c>
      <c r="I23" s="6">
        <f>SUM(I20:I22)</f>
        <v/>
      </c>
      <c r="J23" s="31">
        <f>SUM(J20:J22)</f>
        <v/>
      </c>
    </row>
    <row r="25">
      <c r="A25" s="12" t="inlineStr">
        <is>
          <t>手数料と原価率</t>
        </is>
      </c>
    </row>
    <row r="26">
      <c r="A26" s="4" t="inlineStr">
        <is>
          <t>手数料率</t>
        </is>
      </c>
      <c r="B26" s="35" t="n">
        <v>0.3</v>
      </c>
      <c r="K26" s="7" t="inlineStr">
        <is>
          <t>一律30%。70%をクリエイターに渡す（松田さん決定）</t>
        </is>
      </c>
    </row>
    <row r="27">
      <c r="A27" s="4" t="inlineStr">
        <is>
          <t>決済手数料率</t>
        </is>
      </c>
      <c r="B27" s="35" t="n">
        <v>0.0318</v>
      </c>
      <c r="K27" s="7" t="inlineStr">
        <is>
          <t>Stripe 国内カード3.6%／銀行振込1.5% を 80:20 で加重</t>
        </is>
      </c>
    </row>
    <row r="28">
      <c r="A28" s="4" t="inlineStr">
        <is>
          <t>送金・為替</t>
        </is>
      </c>
      <c r="B28" s="35" t="n">
        <v>0.03</v>
      </c>
      <c r="K28" s="7" t="inlineStr">
        <is>
          <t>中国の制作パートナー経由（松田さん指示）</t>
        </is>
      </c>
    </row>
    <row r="30">
      <c r="A30" s="12" t="inlineStr">
        <is>
          <t>期別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19" t="n">
        <v>0.01</v>
      </c>
      <c r="D32" s="19" t="n">
        <v>0.07000000000000001</v>
      </c>
      <c r="E32" s="19" t="n">
        <v>0.28</v>
      </c>
      <c r="F32" s="19" t="n">
        <v>0.62</v>
      </c>
      <c r="G32" s="19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19" t="n">
        <v>0</v>
      </c>
      <c r="D33" s="19" t="n">
        <v>0.04</v>
      </c>
      <c r="E33" s="19" t="n">
        <v>0.22</v>
      </c>
      <c r="F33" s="19" t="n">
        <v>0.58</v>
      </c>
      <c r="G33" s="19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19" t="n">
        <v>0</v>
      </c>
      <c r="D34" s="19" t="n">
        <v>0</v>
      </c>
      <c r="E34" s="19" t="n">
        <v>0.15</v>
      </c>
      <c r="F34" s="19" t="n">
        <v>0.55</v>
      </c>
      <c r="G34" s="19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19" t="n">
        <v>0</v>
      </c>
      <c r="D35" s="19" t="n">
        <v>0.007</v>
      </c>
      <c r="E35" s="19" t="n">
        <v>0.032</v>
      </c>
      <c r="F35" s="19" t="n">
        <v>0.08799999999999999</v>
      </c>
      <c r="G35" s="19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3">
        <f>$J$20*C32*(1-C35)</f>
        <v/>
      </c>
      <c r="D36" s="23">
        <f>$J$20*D32*(1-D35)</f>
        <v/>
      </c>
      <c r="E36" s="23">
        <f>$J$20*E32*(1-E35)</f>
        <v/>
      </c>
      <c r="F36" s="23">
        <f>$J$20*F32*(1-F35)</f>
        <v/>
      </c>
      <c r="G36" s="23">
        <f>$J$20*G32*(1-G35)</f>
        <v/>
      </c>
    </row>
    <row r="37">
      <c r="A37" s="5" t="inlineStr">
        <is>
          <t>③-B GMV（百万円）</t>
        </is>
      </c>
      <c r="B37" s="5" t="inlineStr"/>
      <c r="C37" s="23">
        <f>$J$21*C33</f>
        <v/>
      </c>
      <c r="D37" s="23">
        <f>$J$21*D33</f>
        <v/>
      </c>
      <c r="E37" s="23">
        <f>$J$21*E33</f>
        <v/>
      </c>
      <c r="F37" s="23">
        <f>$J$21*F33</f>
        <v/>
      </c>
      <c r="G37" s="23">
        <f>$J$21*G33</f>
        <v/>
      </c>
    </row>
    <row r="38">
      <c r="A38" s="5" t="inlineStr">
        <is>
          <t>③-C GMV（百万円）</t>
        </is>
      </c>
      <c r="B38" s="5" t="inlineStr"/>
      <c r="C38" s="23">
        <f>$J$22*C34</f>
        <v/>
      </c>
      <c r="D38" s="23">
        <f>$J$22*D34</f>
        <v/>
      </c>
      <c r="E38" s="23">
        <f>$J$22*E34</f>
        <v/>
      </c>
      <c r="F38" s="23">
        <f>$J$22*F34</f>
        <v/>
      </c>
      <c r="G38" s="23">
        <f>$J$22*G34</f>
        <v/>
      </c>
    </row>
    <row r="39">
      <c r="A39" s="4" t="inlineStr">
        <is>
          <t>GMV 合計</t>
        </is>
      </c>
      <c r="B39" s="5" t="inlineStr"/>
      <c r="C39" s="23">
        <f>C36+C37+C38</f>
        <v/>
      </c>
      <c r="D39" s="23">
        <f>D36+D37+D38</f>
        <v/>
      </c>
      <c r="E39" s="23">
        <f>E36+E37+E38</f>
        <v/>
      </c>
      <c r="F39" s="23">
        <f>F36+F37+F38</f>
        <v/>
      </c>
      <c r="G39" s="23">
        <f>G36+G37+G38</f>
        <v/>
      </c>
    </row>
    <row r="40">
      <c r="A40" s="5" t="inlineStr">
        <is>
          <t>取引件数</t>
        </is>
      </c>
      <c r="B40" s="5" t="inlineStr"/>
      <c r="C40" s="23">
        <f>$H$20*C32*(1-C35)+$H$21*C33+$H$22*C34</f>
        <v/>
      </c>
      <c r="D40" s="23">
        <f>$H$20*D32*(1-D35)+$H$21*D33+$H$22*D34</f>
        <v/>
      </c>
      <c r="E40" s="23">
        <f>$H$20*E32*(1-E35)+$H$21*E33+$H$22*E34</f>
        <v/>
      </c>
      <c r="F40" s="23">
        <f>$H$20*F32*(1-F35)+$H$21*F33+$H$22*F34</f>
        <v/>
      </c>
      <c r="G40" s="23">
        <f>$H$20*G32*(1-G35)+$H$21*G33+$H$22*G34</f>
        <v/>
      </c>
    </row>
    <row r="41">
      <c r="A41" s="4" t="inlineStr">
        <is>
          <t>③ 売上（手数料30%）</t>
        </is>
      </c>
      <c r="B41" s="5" t="inlineStr"/>
      <c r="C41" s="6">
        <f>C39*$B$26</f>
        <v/>
      </c>
      <c r="D41" s="6">
        <f>D39*$B$26</f>
        <v/>
      </c>
      <c r="E41" s="6">
        <f>E39*$B$26</f>
        <v/>
      </c>
      <c r="F41" s="6">
        <f>F39*$B$26</f>
        <v/>
      </c>
      <c r="G41" s="6">
        <f>G39*$B$26</f>
        <v/>
      </c>
    </row>
    <row r="42">
      <c r="A42" s="5" t="inlineStr">
        <is>
          <t xml:space="preserve">　− 決済・送金・システム</t>
        </is>
      </c>
      <c r="B42" s="5" t="inlineStr"/>
      <c r="C42" s="23">
        <f>C39*($B$27+$B$28)+C40*'システム原価'!$H$29/1000000</f>
        <v/>
      </c>
      <c r="D42" s="23">
        <f>D39*($B$27+$B$28)+D40*'システム原価'!$H$29/1000000</f>
        <v/>
      </c>
      <c r="E42" s="23">
        <f>E39*($B$27+$B$28)+E40*'システム原価'!$H$29/1000000</f>
        <v/>
      </c>
      <c r="F42" s="23">
        <f>F39*($B$27+$B$28)+F40*'システム原価'!$H$29/1000000</f>
        <v/>
      </c>
      <c r="G42" s="23">
        <f>G39*($B$27+$B$28)+G40*'システム原価'!$H$29/1000000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5">
      <c r="A45" s="36" t="inlineStr">
        <is>
          <t>成約が価格帯のどこに落ちるかで③は3倍動く。ここは中点（均等）を採用している（松田さん決定）。下限寄りに寄ると小さくなる。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人員と人件費（社員は極小）</t>
        </is>
      </c>
    </row>
    <row r="2">
      <c r="A2" s="2" t="inlineStr">
        <is>
          <t>制作ディレクション・CS・オペレーションは社員ではなく業務委託／BPO。社員は経営・モデル開発・各機能の統括・管理のみ。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18" t="n">
        <v>900</v>
      </c>
      <c r="C4" s="18" t="n">
        <v>1</v>
      </c>
      <c r="D4" s="18" t="n">
        <v>1</v>
      </c>
      <c r="E4" s="18" t="n">
        <v>2</v>
      </c>
      <c r="F4" s="18" t="n">
        <v>3</v>
      </c>
      <c r="G4" s="18" t="n">
        <v>3</v>
      </c>
      <c r="H4" s="7" t="inlineStr">
        <is>
          <t>代表＋CFO／CTO級</t>
        </is>
      </c>
    </row>
    <row r="5">
      <c r="A5" s="5" t="inlineStr">
        <is>
          <t>モデル開発エンジニア</t>
        </is>
      </c>
      <c r="B5" s="18" t="n">
        <v>850</v>
      </c>
      <c r="C5" s="18" t="n">
        <v>2</v>
      </c>
      <c r="D5" s="18" t="n">
        <v>6</v>
      </c>
      <c r="E5" s="18" t="n">
        <v>16</v>
      </c>
      <c r="F5" s="18" t="n">
        <v>28</v>
      </c>
      <c r="G5" s="18" t="n">
        <v>40</v>
      </c>
      <c r="H5" s="7" t="inlineStr">
        <is>
          <t>AX倍率を上げ続ける中核</t>
        </is>
      </c>
    </row>
    <row r="6">
      <c r="A6" s="5" t="inlineStr">
        <is>
          <t>制作統括</t>
        </is>
      </c>
      <c r="B6" s="18" t="n">
        <v>650</v>
      </c>
      <c r="C6" s="18" t="n">
        <v>1</v>
      </c>
      <c r="D6" s="18" t="n">
        <v>2</v>
      </c>
      <c r="E6" s="18" t="n">
        <v>3</v>
      </c>
      <c r="F6" s="18" t="n">
        <v>3</v>
      </c>
      <c r="G6" s="18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18" t="n">
        <v>700</v>
      </c>
      <c r="C7" s="18" t="n">
        <v>1</v>
      </c>
      <c r="D7" s="18" t="n">
        <v>2</v>
      </c>
      <c r="E7" s="18" t="n">
        <v>4</v>
      </c>
      <c r="F7" s="18" t="n">
        <v>5</v>
      </c>
      <c r="G7" s="18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18" t="n">
        <v>600</v>
      </c>
      <c r="C8" s="18" t="n">
        <v>1</v>
      </c>
      <c r="D8" s="18" t="n">
        <v>1</v>
      </c>
      <c r="E8" s="18" t="n">
        <v>2</v>
      </c>
      <c r="F8" s="18" t="n">
        <v>3</v>
      </c>
      <c r="G8" s="18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18" t="n">
        <v>550</v>
      </c>
      <c r="C9" s="18" t="n">
        <v>0</v>
      </c>
      <c r="D9" s="18" t="n">
        <v>1</v>
      </c>
      <c r="E9" s="18" t="n">
        <v>2</v>
      </c>
      <c r="F9" s="18" t="n">
        <v>4</v>
      </c>
      <c r="G9" s="18" t="n">
        <v>6</v>
      </c>
      <c r="H9" s="7" t="inlineStr">
        <is>
          <t>経理・法務・上場準備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1">
        <f>SUMPRODUCT($B$4:$B$9,C4:C9)*'前提'!$C$17/100</f>
        <v/>
      </c>
      <c r="D11" s="21">
        <f>SUMPRODUCT($B$4:$B$9,D4:D9)*'前提'!$D$17/100</f>
        <v/>
      </c>
      <c r="E11" s="21">
        <f>SUMPRODUCT($B$4:$B$9,E4:E9)*'前提'!$E$17/100</f>
        <v/>
      </c>
      <c r="F11" s="21">
        <f>SUMPRODUCT($B$4:$B$9,F4:F9)*'前提'!$F$17/100</f>
        <v/>
      </c>
      <c r="G11" s="21">
        <f>SUMPRODUCT($B$4:$B$9,G4:G9)*'前提'!$G$17/100</f>
        <v/>
      </c>
    </row>
    <row r="12">
      <c r="A12" s="4" t="inlineStr">
        <is>
          <t>1人あたり人件費（万円）</t>
        </is>
      </c>
      <c r="C12" s="23">
        <f>IF(C10=0,0,C11*100/C10)</f>
        <v/>
      </c>
      <c r="D12" s="23">
        <f>IF(D10=0,0,D11*100/D10)</f>
        <v/>
      </c>
      <c r="E12" s="23">
        <f>IF(E10=0,0,E11*100/E10)</f>
        <v/>
      </c>
      <c r="F12" s="23">
        <f>IF(F10=0,0,F11*100/F10)</f>
        <v/>
      </c>
      <c r="G12" s="23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29">
        <f>'商品マスタ①'!I12*(1/120+1/90)*'商品マスタ①'!I10/'前提'!$C$4</f>
        <v/>
      </c>
      <c r="D16" s="29">
        <f>'商品マスタ①'!J12*(1/120+1/90)*'商品マスタ①'!J10/'前提'!$D$4</f>
        <v/>
      </c>
      <c r="E16" s="29">
        <f>'商品マスタ①'!K12*(1/120+1/90)*'商品マスタ①'!K10/'前提'!$E$4</f>
        <v/>
      </c>
      <c r="F16" s="29">
        <f>'商品マスタ①'!L12*(1/120+1/90)*'商品マスタ①'!L10/'前提'!$F$4</f>
        <v/>
      </c>
      <c r="G16" s="29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中国クリエイター（登録・人）</t>
        </is>
      </c>
      <c r="G17" s="37">
        <f>'クリエイター経済'!B18</f>
        <v/>
      </c>
      <c r="H17" s="7" t="inlineStr">
        <is>
          <t>クリエイター経済シート。①③の合計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29">
        <f>'商品マスタ①'!I9</f>
        <v/>
      </c>
      <c r="D6" s="29">
        <f>'商品マスタ①'!J9</f>
        <v/>
      </c>
      <c r="E6" s="29">
        <f>'商品マスタ①'!K9</f>
        <v/>
      </c>
      <c r="F6" s="29">
        <f>'商品マスタ①'!L9</f>
        <v/>
      </c>
      <c r="G6" s="29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3">
        <f>'商品マスタ①'!I10</f>
        <v/>
      </c>
      <c r="D7" s="13">
        <f>'商品マスタ①'!J10</f>
        <v/>
      </c>
      <c r="E7" s="13">
        <f>'商品マスタ①'!K10</f>
        <v/>
      </c>
      <c r="F7" s="13">
        <f>'商品マスタ①'!L10</f>
        <v/>
      </c>
      <c r="G7" s="13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29">
        <f>'商品マスタ①'!I11</f>
        <v/>
      </c>
      <c r="D8" s="29">
        <f>'商品マスタ①'!J11</f>
        <v/>
      </c>
      <c r="E8" s="29">
        <f>'商品マスタ①'!K11</f>
        <v/>
      </c>
      <c r="F8" s="29">
        <f>'商品マスタ①'!L11</f>
        <v/>
      </c>
      <c r="G8" s="29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'商品マスタ②'!C38</f>
        <v/>
      </c>
      <c r="D10" s="8">
        <f>'商品マスタ②'!D38</f>
        <v/>
      </c>
      <c r="E10" s="8">
        <f>'商品マスタ②'!E38</f>
        <v/>
      </c>
      <c r="F10" s="8">
        <f>'商品マスタ②'!F38</f>
        <v/>
      </c>
      <c r="G10" s="8">
        <f>'商品マスタ②'!G38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C10*'商品マスタ②'!$B$39</f>
        <v/>
      </c>
      <c r="D16" s="8">
        <f>D10*'商品マスタ②'!$B$39</f>
        <v/>
      </c>
      <c r="E16" s="8">
        <f>E10*'商品マスタ②'!$B$39</f>
        <v/>
      </c>
      <c r="F16" s="8">
        <f>F10*'商品マスタ②'!$B$39</f>
        <v/>
      </c>
      <c r="G16" s="8">
        <f>G10*'商品マスタ②'!$B$39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研究開発費</t>
        </is>
      </c>
      <c r="B22" s="5" t="inlineStr"/>
      <c r="C22" s="8">
        <f>'前提'!$C$9</f>
        <v/>
      </c>
      <c r="D22" s="8">
        <f>'前提'!$D$9</f>
        <v/>
      </c>
      <c r="E22" s="8">
        <f>'前提'!$E$9</f>
        <v/>
      </c>
      <c r="F22" s="8">
        <f>'前提'!$F$9</f>
        <v/>
      </c>
      <c r="G22" s="8">
        <f>'前提'!$G$9</f>
        <v/>
      </c>
      <c r="H22" s="7" t="inlineStr">
        <is>
          <t>AX倍率を上げ続けるための投資</t>
        </is>
      </c>
    </row>
    <row r="23">
      <c r="A23" s="5" t="inlineStr">
        <is>
          <t>BPO（CS・運用）</t>
        </is>
      </c>
      <c r="B23" s="5" t="inlineStr"/>
      <c r="C23" s="8">
        <f>'前提'!$C$10</f>
        <v/>
      </c>
      <c r="D23" s="8">
        <f>'前提'!$D$10</f>
        <v/>
      </c>
      <c r="E23" s="8">
        <f>'前提'!$E$10</f>
        <v/>
      </c>
      <c r="F23" s="8">
        <f>'前提'!$F$10</f>
        <v/>
      </c>
      <c r="G23" s="8">
        <f>'前提'!$G$10</f>
        <v/>
      </c>
    </row>
    <row r="24">
      <c r="A24" s="5" t="inlineStr">
        <is>
          <t>獲得費</t>
        </is>
      </c>
      <c r="B24" s="5" t="inlineStr"/>
      <c r="C24" s="8">
        <f>C4*'前提'!$C$12+C10*'前提'!$C$13+'前提'!$C$11</f>
        <v/>
      </c>
      <c r="D24" s="8">
        <f>D4*'前提'!$D$12+D10*'前提'!$D$13+'前提'!$D$11</f>
        <v/>
      </c>
      <c r="E24" s="8">
        <f>E4*'前提'!$E$12+E10*'前提'!$E$13+'前提'!$E$11</f>
        <v/>
      </c>
      <c r="F24" s="8">
        <f>F4*'前提'!$F$12+F10*'前提'!$F$13+'前提'!$F$11</f>
        <v/>
      </c>
      <c r="G24" s="8">
        <f>G4*'前提'!$G$12+G10*'前提'!$G$13+'前提'!$G$11</f>
        <v/>
      </c>
    </row>
    <row r="25">
      <c r="A25" s="5" t="inlineStr">
        <is>
          <t>代理店手数料</t>
        </is>
      </c>
      <c r="B25" s="5" t="inlineStr"/>
      <c r="C25" s="8">
        <f>C4*'前提'!$C$14*'前提'!$C$15</f>
        <v/>
      </c>
      <c r="D25" s="8">
        <f>D4*'前提'!$D$14*'前提'!$D$15</f>
        <v/>
      </c>
      <c r="E25" s="8">
        <f>E4*'前提'!$E$14*'前提'!$E$15</f>
        <v/>
      </c>
      <c r="F25" s="8">
        <f>F4*'前提'!$F$14*'前提'!$F$15</f>
        <v/>
      </c>
      <c r="G25" s="8">
        <f>G4*'前提'!$G$14*'前提'!$G$15</f>
        <v/>
      </c>
      <c r="H25" s="7" t="inlineStr">
        <is>
          <t>①の代理店チャネル分のみ</t>
        </is>
      </c>
    </row>
    <row r="26">
      <c r="A26" s="5" t="inlineStr">
        <is>
          <t>その他販管費</t>
        </is>
      </c>
      <c r="B26" s="5" t="inlineStr"/>
      <c r="C26" s="8">
        <f>C12*'前提'!$C$16</f>
        <v/>
      </c>
      <c r="D26" s="8">
        <f>D12*'前提'!$D$16</f>
        <v/>
      </c>
      <c r="E26" s="8">
        <f>E12*'前提'!$E$16</f>
        <v/>
      </c>
      <c r="F26" s="8">
        <f>F12*'前提'!$F$16</f>
        <v/>
      </c>
      <c r="G26" s="8">
        <f>G12*'前提'!$G$16</f>
        <v/>
      </c>
    </row>
    <row r="27">
      <c r="A27" s="4" t="inlineStr">
        <is>
          <t>販売費・一般管理費 計</t>
        </is>
      </c>
      <c r="B27" s="5" t="inlineStr"/>
      <c r="C27" s="37">
        <f>SUM(C21:C26)</f>
        <v/>
      </c>
      <c r="D27" s="37">
        <f>SUM(D21:D26)</f>
        <v/>
      </c>
      <c r="E27" s="37">
        <f>SUM(E21:E26)</f>
        <v/>
      </c>
      <c r="F27" s="37">
        <f>SUM(F21:F26)</f>
        <v/>
      </c>
      <c r="G27" s="37">
        <f>SUM(G21:G26)</f>
        <v/>
      </c>
    </row>
    <row r="28">
      <c r="A28" s="4" t="inlineStr">
        <is>
          <t>営業利益</t>
        </is>
      </c>
      <c r="B28" s="5" t="inlineStr"/>
      <c r="C28" s="6">
        <f>C18-C27</f>
        <v/>
      </c>
      <c r="D28" s="6">
        <f>D18-D27</f>
        <v/>
      </c>
      <c r="E28" s="6">
        <f>E18-E27</f>
        <v/>
      </c>
      <c r="F28" s="6">
        <f>F18-F27</f>
        <v/>
      </c>
      <c r="G28" s="6">
        <f>G18-G27</f>
        <v/>
      </c>
    </row>
    <row r="29">
      <c r="A29" s="4" t="inlineStr">
        <is>
          <t xml:space="preserve">　営業利益率</t>
        </is>
      </c>
      <c r="B29" s="5" t="inlineStr"/>
      <c r="C29" s="38">
        <f>IF(C12=0,0,C28/C12)</f>
        <v/>
      </c>
      <c r="D29" s="38">
        <f>IF(D12=0,0,D28/D12)</f>
        <v/>
      </c>
      <c r="E29" s="38">
        <f>IF(E12=0,0,E28/E12)</f>
        <v/>
      </c>
      <c r="F29" s="38">
        <f>IF(F12=0,0,F28/F12)</f>
        <v/>
      </c>
      <c r="G29" s="38">
        <f>IF(G12=0,0,G28/G12)</f>
        <v/>
      </c>
    </row>
    <row r="31">
      <c r="A31" s="12" t="inlineStr">
        <is>
          <t>投資家が見る指標</t>
        </is>
      </c>
    </row>
    <row r="32">
      <c r="A32" s="5" t="inlineStr">
        <is>
          <t>社員数</t>
        </is>
      </c>
      <c r="B32" s="5" t="inlineStr"/>
      <c r="C32" s="8">
        <f>'人員と人件費'!C10</f>
        <v/>
      </c>
      <c r="D32" s="8">
        <f>'人員と人件費'!D10</f>
        <v/>
      </c>
      <c r="E32" s="8">
        <f>'人員と人件費'!E10</f>
        <v/>
      </c>
      <c r="F32" s="8">
        <f>'人員と人件費'!F10</f>
        <v/>
      </c>
      <c r="G32" s="8">
        <f>'人員と人件費'!G10</f>
        <v/>
      </c>
    </row>
    <row r="33">
      <c r="A33" s="4" t="inlineStr">
        <is>
          <t>売上 / 社員（万円）</t>
        </is>
      </c>
      <c r="B33" s="5" t="inlineStr"/>
      <c r="C33" s="6">
        <f>IF(C32=0,0,C12*100/C32)</f>
        <v/>
      </c>
      <c r="D33" s="6">
        <f>IF(D32=0,0,D12*100/D32)</f>
        <v/>
      </c>
      <c r="E33" s="6">
        <f>IF(E32=0,0,E12*100/E32)</f>
        <v/>
      </c>
      <c r="F33" s="6">
        <f>IF(F32=0,0,F12*100/F32)</f>
        <v/>
      </c>
      <c r="G33" s="6">
        <f>IF(G32=0,0,G12*100/G32)</f>
        <v/>
      </c>
      <c r="H33" s="7" t="inlineStr">
        <is>
          <t>国内SaaSの平均2,000〜4,000万との比較</t>
        </is>
      </c>
    </row>
    <row r="34">
      <c r="A34" s="5" t="inlineStr">
        <is>
          <t>研究開発費 ÷ 売上</t>
        </is>
      </c>
      <c r="B34" s="5" t="inlineStr"/>
      <c r="C34" s="10">
        <f>IF(C12=0,0,C22/C12)</f>
        <v/>
      </c>
      <c r="D34" s="10">
        <f>IF(D12=0,0,D22/D12)</f>
        <v/>
      </c>
      <c r="E34" s="10">
        <f>IF(E12=0,0,E22/E12)</f>
        <v/>
      </c>
      <c r="F34" s="10">
        <f>IF(F12=0,0,F22/F12)</f>
        <v/>
      </c>
      <c r="G34" s="10">
        <f>IF(G12=0,0,G22/G12)</f>
        <v/>
      </c>
    </row>
    <row r="35">
      <c r="A35" s="5" t="inlineStr">
        <is>
          <t>人手に比例しない収益</t>
        </is>
      </c>
      <c r="B35" s="5" t="inlineStr"/>
      <c r="C35" s="8">
        <f>C10+C11+C4*(1-1/'前提'!$C$4)</f>
        <v/>
      </c>
      <c r="D35" s="8">
        <f>D10+D11+D4*(1-1/'前提'!$D$4)</f>
        <v/>
      </c>
      <c r="E35" s="8">
        <f>E10+E11+E4*(1-1/'前提'!$E$4)</f>
        <v/>
      </c>
      <c r="F35" s="8">
        <f>F10+F11+F4*(1-1/'前提'!$F$4)</f>
        <v/>
      </c>
      <c r="G35" s="8">
        <f>G10+G11+G4*(1-1/'前提'!$G$4)</f>
        <v/>
      </c>
      <c r="H35" s="7" t="inlineStr">
        <is>
          <t>②＋③＋①のうちAXで人手から切れた分</t>
        </is>
      </c>
    </row>
    <row r="36">
      <c r="A36" s="4" t="inlineStr">
        <is>
          <t xml:space="preserve">　同 比率</t>
        </is>
      </c>
      <c r="B36" s="5" t="inlineStr"/>
      <c r="C36" s="9">
        <f>IF(C12=0,0,C35/C12)</f>
        <v/>
      </c>
      <c r="D36" s="9">
        <f>IF(D12=0,0,D35/D12)</f>
        <v/>
      </c>
      <c r="E36" s="9">
        <f>IF(E12=0,0,E35/E12)</f>
        <v/>
      </c>
      <c r="F36" s="9">
        <f>IF(F12=0,0,F35/F12)</f>
        <v/>
      </c>
      <c r="G36" s="9">
        <f>IF(G12=0,0,G35/G12)</f>
        <v/>
      </c>
      <c r="H36" s="7" t="inlineStr">
        <is>
          <t>受託と読まれないための中心指標</t>
        </is>
      </c>
    </row>
    <row r="37">
      <c r="A37" s="5" t="inlineStr">
        <is>
          <t>顧客が浮かせる額</t>
        </is>
      </c>
      <c r="B37" s="5" t="inlineStr"/>
      <c r="C37" s="8">
        <f>'商品マスタ①'!I14</f>
        <v/>
      </c>
      <c r="D37" s="8">
        <f>'商品マスタ①'!J14</f>
        <v/>
      </c>
      <c r="E37" s="8">
        <f>'商品マスタ①'!K14</f>
        <v/>
      </c>
      <c r="F37" s="8">
        <f>'商品マスタ①'!L14</f>
        <v/>
      </c>
      <c r="G37" s="8">
        <f>'商品マスタ①'!M14</f>
        <v/>
      </c>
      <c r="H37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37">
        <f>'損益計算書'!C28</f>
        <v/>
      </c>
      <c r="D4" s="37">
        <f>'損益計算書'!D28</f>
        <v/>
      </c>
      <c r="E4" s="37">
        <f>'損益計算書'!E28</f>
        <v/>
      </c>
      <c r="F4" s="37">
        <f>'損益計算書'!F28</f>
        <v/>
      </c>
      <c r="G4" s="37">
        <f>'損益計算書'!G28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37">
        <f>C9+C10</f>
        <v/>
      </c>
      <c r="D11" s="37">
        <f>D9+D10</f>
        <v/>
      </c>
      <c r="E11" s="37">
        <f>E9+E10</f>
        <v/>
      </c>
      <c r="F11" s="37">
        <f>F9+F10</f>
        <v/>
      </c>
      <c r="G11" s="37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37">
        <f>C16+C17+C18</f>
        <v/>
      </c>
      <c r="D19" s="37">
        <f>D16+D17+D18</f>
        <v/>
      </c>
      <c r="E19" s="37">
        <f>E16+E17+E18</f>
        <v/>
      </c>
      <c r="F19" s="37">
        <f>F16+F17+F18</f>
        <v/>
      </c>
      <c r="G19" s="37">
        <f>G16+G17+G18</f>
        <v/>
      </c>
    </row>
    <row r="21">
      <c r="A21" s="4" t="inlineStr">
        <is>
          <t>当期キャッシュ増減</t>
        </is>
      </c>
      <c r="B21" s="5" t="inlineStr"/>
      <c r="C21" s="37">
        <f>C14+C15+C19</f>
        <v/>
      </c>
      <c r="D21" s="37">
        <f>D14+D15+D19</f>
        <v/>
      </c>
      <c r="E21" s="37">
        <f>E14+E15+E19</f>
        <v/>
      </c>
      <c r="F21" s="37">
        <f>F14+F15+F19</f>
        <v/>
      </c>
      <c r="G21" s="37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18" t="n">
        <v>800</v>
      </c>
      <c r="D4" s="16" t="inlineStr">
        <is>
          <t>万円</t>
        </is>
      </c>
      <c r="E4" s="16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19" t="n">
        <v>0.1</v>
      </c>
      <c r="D5" s="16" t="inlineStr">
        <is>
          <t>%</t>
        </is>
      </c>
      <c r="E5" s="16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0" t="n">
        <v>6</v>
      </c>
      <c r="D6" s="16" t="inlineStr">
        <is>
          <t>億円</t>
        </is>
      </c>
      <c r="E6" s="16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0" t="n">
        <v>1.42</v>
      </c>
      <c r="D7" s="16" t="inlineStr">
        <is>
          <t>億円</t>
        </is>
      </c>
      <c r="E7" s="16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19" t="n">
        <v>0.2</v>
      </c>
      <c r="D8" s="16" t="inlineStr">
        <is>
          <t>%</t>
        </is>
      </c>
      <c r="E8" s="16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0" t="n">
        <v>15</v>
      </c>
      <c r="D9" s="16" t="inlineStr">
        <is>
          <t>億円</t>
        </is>
      </c>
      <c r="E9" s="16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0" t="n">
        <v>3</v>
      </c>
      <c r="D10" s="16" t="inlineStr">
        <is>
          <t>億円</t>
        </is>
      </c>
      <c r="E10" s="16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19" t="n">
        <v>0.099</v>
      </c>
      <c r="D11" s="16" t="inlineStr">
        <is>
          <t>%</t>
        </is>
      </c>
      <c r="E11" s="16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19" t="n">
        <v>0.2</v>
      </c>
      <c r="D12" s="16" t="inlineStr">
        <is>
          <t>%</t>
        </is>
      </c>
      <c r="E12" s="16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19" t="n">
        <v>0.055</v>
      </c>
      <c r="D13" s="16" t="inlineStr">
        <is>
          <t>%</t>
        </is>
      </c>
      <c r="E13" s="16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19" t="n">
        <v>0</v>
      </c>
      <c r="D14" s="16" t="inlineStr">
        <is>
          <t>%</t>
        </is>
      </c>
      <c r="E14" s="16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39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39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0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41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0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41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0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41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0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41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0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41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0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41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0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41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38">
        <f>D26</f>
        <v/>
      </c>
      <c r="C30" s="16" t="inlineStr">
        <is>
          <t>—</t>
        </is>
      </c>
      <c r="D30" s="17" t="inlineStr">
        <is>
          <t>× 除外</t>
        </is>
      </c>
      <c r="E30" s="38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38">
        <f>E26</f>
        <v/>
      </c>
      <c r="C31" s="16" t="inlineStr">
        <is>
          <t>—</t>
        </is>
      </c>
      <c r="D31" s="17" t="inlineStr">
        <is>
          <t>× 除外</t>
        </is>
      </c>
      <c r="E31" s="38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38">
        <f>F26</f>
        <v/>
      </c>
      <c r="C32" s="16">
        <f>IF(B32&lt;0.1,"10%未満","10%以上")</f>
        <v/>
      </c>
      <c r="D32" s="16">
        <f>IF(B32&lt;0.1,"○ 算入","× 除外")</f>
        <v/>
      </c>
      <c r="E32" s="38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38">
        <f>G26</f>
        <v/>
      </c>
      <c r="C33" s="16">
        <f>IF(B33&lt;0.1,"10%未満","10%以上")</f>
        <v/>
      </c>
      <c r="D33" s="16">
        <f>IF(B33&lt;0.1,"○ 算入","× 除外")</f>
        <v/>
      </c>
      <c r="E33" s="38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38">
        <f>H26</f>
        <v/>
      </c>
      <c r="C34" s="16" t="inlineStr">
        <is>
          <t>—</t>
        </is>
      </c>
      <c r="D34" s="16" t="inlineStr">
        <is>
          <t>○ 算入</t>
        </is>
      </c>
      <c r="E34" s="38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34">
        <f>IF(E35&gt;=0.25,"○ 満たす","× 不足")</f>
        <v/>
      </c>
      <c r="E36" s="42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2">
        <f>'資本構成の推移'!C6</f>
        <v/>
      </c>
      <c r="C4" s="16" t="inlineStr">
        <is>
          <t>億円</t>
        </is>
      </c>
      <c r="D4" s="16" t="inlineStr">
        <is>
          <t>確定</t>
        </is>
      </c>
      <c r="I4" s="7" t="inlineStr"/>
    </row>
    <row r="5">
      <c r="A5" s="5" t="inlineStr">
        <is>
          <t>シード調達額</t>
        </is>
      </c>
      <c r="B5" s="32">
        <f>'資本構成の推移'!C7</f>
        <v/>
      </c>
      <c r="C5" s="16" t="inlineStr">
        <is>
          <t>億円</t>
        </is>
      </c>
      <c r="D5" s="16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39">
        <f>'資本構成の推移'!C15</f>
        <v/>
      </c>
      <c r="C6" s="16" t="inlineStr">
        <is>
          <t>%</t>
        </is>
      </c>
      <c r="D6" s="16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43">
        <f>B8/B6</f>
        <v/>
      </c>
      <c r="C7" s="16" t="inlineStr">
        <is>
          <t>倍</t>
        </is>
      </c>
      <c r="D7" s="16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39">
        <f>'資本構成の推移'!F25</f>
        <v/>
      </c>
      <c r="C8" s="16" t="inlineStr">
        <is>
          <t>%</t>
        </is>
      </c>
      <c r="D8" s="16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0" t="n">
        <v>4.9</v>
      </c>
      <c r="C9" s="16" t="inlineStr">
        <is>
          <t>年</t>
        </is>
      </c>
      <c r="D9" s="16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5" t="n">
        <v>6</v>
      </c>
      <c r="C13" s="25" t="n">
        <v>4</v>
      </c>
      <c r="D13" s="25" t="n">
        <v>1.5</v>
      </c>
      <c r="E13" s="21">
        <f>('損益計算書'!$G$10*B13+'損益計算書'!$G$11*C13+'損益計算書'!$G$4*D13)/100</f>
        <v/>
      </c>
      <c r="F13" s="13">
        <f>E13*$B$8</f>
        <v/>
      </c>
      <c r="G13" s="44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5" t="n">
        <v>7</v>
      </c>
      <c r="C14" s="25" t="n">
        <v>5</v>
      </c>
      <c r="D14" s="25" t="n">
        <v>2</v>
      </c>
      <c r="E14" s="21">
        <f>('損益計算書'!$G$10*B14+'損益計算書'!$G$11*C14+'損益計算書'!$G$4*D14)/100</f>
        <v/>
      </c>
      <c r="F14" s="13">
        <f>E14*$B$8</f>
        <v/>
      </c>
      <c r="G14" s="44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5" t="n">
        <v>8</v>
      </c>
      <c r="C15" s="25" t="n">
        <v>6</v>
      </c>
      <c r="D15" s="25" t="n">
        <v>2.5</v>
      </c>
      <c r="E15" s="21">
        <f>('損益計算書'!$G$10*B15+'損益計算書'!$G$11*C15+'損益計算書'!$G$4*D15)/100</f>
        <v/>
      </c>
      <c r="F15" s="13">
        <f>E15*$B$8</f>
        <v/>
      </c>
      <c r="G15" s="44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5" t="n">
        <v>4</v>
      </c>
      <c r="E19" s="21">
        <f>'損益計算書'!$G$12*B19/100</f>
        <v/>
      </c>
      <c r="F19" s="13">
        <f>E19*$B$8</f>
        <v/>
      </c>
      <c r="G19" s="44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5" t="n">
        <v>5</v>
      </c>
      <c r="E20" s="21">
        <f>'損益計算書'!$G$12*B20/100</f>
        <v/>
      </c>
      <c r="F20" s="13">
        <f>E20*$B$8</f>
        <v/>
      </c>
      <c r="G20" s="44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0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0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45" t="inlineStr">
        <is>
          <t>【当社 5期（2031年）】</t>
        </is>
      </c>
      <c r="B14" s="46">
        <f>'損益計算書'!$G$12/100</f>
        <v/>
      </c>
      <c r="C14" s="45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 ÷ Synthesia</t>
        </is>
      </c>
      <c r="B17" s="10">
        <f>'損益計算書'!$G$10/100/210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47" t="inlineStr">
        <is>
          <t>── 実測 ──</t>
        </is>
      </c>
      <c r="B4" s="40" t="inlineStr"/>
      <c r="C4" s="16" t="inlineStr"/>
      <c r="D4" s="7" t="inlineStr"/>
    </row>
    <row r="5">
      <c r="A5" s="5" t="inlineStr">
        <is>
          <t>国内 映像制作市場</t>
        </is>
      </c>
      <c r="B5" s="40" t="inlineStr">
        <is>
          <t>4,580億円</t>
        </is>
      </c>
      <c r="C5" s="16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0" t="inlineStr">
        <is>
          <t>4,922億円</t>
        </is>
      </c>
      <c r="C6" s="16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0" t="inlineStr">
        <is>
          <t>295万6,717社</t>
        </is>
      </c>
      <c r="C7" s="16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0" t="inlineStr">
        <is>
          <t>8,935元</t>
        </is>
      </c>
      <c r="C8" s="16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0" t="inlineStr">
        <is>
          <t>約69万人</t>
        </is>
      </c>
      <c r="C9" s="16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0" t="inlineStr">
        <is>
          <t>国内カード3.6%／銀行振込1.5%</t>
        </is>
      </c>
      <c r="C10" s="16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0" t="inlineStr">
        <is>
          <t>1TB/月 ≈ $25</t>
        </is>
      </c>
      <c r="C11" s="16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0" t="inlineStr">
        <is>
          <t>$0.085/GB</t>
        </is>
      </c>
      <c r="C12" s="16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0" t="inlineStr">
        <is>
          <t>業界ベンチマーク シート</t>
        </is>
      </c>
      <c r="C13" s="16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0" t="inlineStr">
        <is>
          <t>5年経過後 時価総額100億円</t>
        </is>
      </c>
      <c r="C14" s="16" t="inlineStr">
        <is>
          <t>実測</t>
        </is>
      </c>
      <c r="D14" s="7" t="inlineStr">
        <is>
          <t>日本取引所グループ</t>
        </is>
      </c>
    </row>
    <row r="15">
      <c r="A15" s="47" t="inlineStr">
        <is>
          <t>── 確認できなかった ──</t>
        </is>
      </c>
      <c r="B15" s="40" t="inlineStr"/>
      <c r="C15" s="16" t="inlineStr"/>
      <c r="D15" s="7" t="inlineStr"/>
    </row>
    <row r="16">
      <c r="A16" s="5" t="inlineStr">
        <is>
          <t>スキルシェア市場の映像比率</t>
        </is>
      </c>
      <c r="B16" s="40" t="inlineStr">
        <is>
          <t>非公表</t>
        </is>
      </c>
      <c r="C16" s="17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47" t="inlineStr">
        <is>
          <t>── 松田さんの決定 ──</t>
        </is>
      </c>
      <c r="B17" s="40" t="inlineStr"/>
      <c r="C17" s="16" t="inlineStr"/>
      <c r="D17" s="7" t="inlineStr"/>
    </row>
    <row r="18">
      <c r="A18" s="5" t="inlineStr">
        <is>
          <t>③ 手数料率</t>
        </is>
      </c>
      <c r="B18" s="40" t="inlineStr">
        <is>
          <t>一律30%（クリエイター70%）</t>
        </is>
      </c>
      <c r="C18" s="16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0" t="inlineStr">
        <is>
          <t>3%</t>
        </is>
      </c>
      <c r="C19" s="16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0" t="inlineStr">
        <is>
          <t>均等（価格帯の中点）</t>
        </is>
      </c>
      <c r="C20" s="16" t="inlineStr">
        <is>
          <t>決定</t>
        </is>
      </c>
      <c r="D20" s="7" t="inlineStr">
        <is>
          <t>下限寄りに寄ると③は1/3になる</t>
        </is>
      </c>
    </row>
    <row r="21">
      <c r="A21" s="5" t="inlineStr">
        <is>
          <t>① クリエイター支払</t>
        </is>
      </c>
      <c r="B21" s="40" t="inlineStr">
        <is>
          <t>厚いまま（実効時給3,000〜6,000円）</t>
        </is>
      </c>
      <c r="C21" s="16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0" t="inlineStr">
        <is>
          <t>②に置く／用途特化</t>
        </is>
      </c>
      <c r="C22" s="16" t="inlineStr">
        <is>
          <t>決定</t>
        </is>
      </c>
      <c r="D22" s="7" t="inlineStr">
        <is>
          <t>汎用エディタは作らない</t>
        </is>
      </c>
    </row>
    <row r="23">
      <c r="A23" s="47" t="inlineStr">
        <is>
          <t>── ★私が置いた値 ──</t>
        </is>
      </c>
      <c r="B23" s="40" t="inlineStr"/>
      <c r="C23" s="16" t="inlineStr"/>
      <c r="D23" s="7" t="inlineStr"/>
    </row>
    <row r="24">
      <c r="A24" s="5" t="inlineStr">
        <is>
          <t>AX倍率</t>
        </is>
      </c>
      <c r="B24" s="40" t="inlineStr">
        <is>
          <t>1.0 → 4.0倍</t>
        </is>
      </c>
      <c r="C24" s="17" t="inlineStr">
        <is>
          <t>★</t>
        </is>
      </c>
      <c r="D24" s="7" t="inlineStr">
        <is>
          <t>未実証。最重要前提。3倍でも営業利益率は成立する</t>
        </is>
      </c>
    </row>
    <row r="25">
      <c r="A25" s="5" t="inlineStr">
        <is>
          <t>① 商品の値引率</t>
        </is>
      </c>
      <c r="B25" s="40" t="inlineStr">
        <is>
          <t>一律50%</t>
        </is>
      </c>
      <c r="C25" s="17" t="inlineStr">
        <is>
          <t>★</t>
        </is>
      </c>
      <c r="D25" s="7" t="inlineStr">
        <is>
          <t>企業の現行支払の半額。顧客が浮かせる額が提案の中身</t>
        </is>
      </c>
    </row>
    <row r="26">
      <c r="A26" s="5" t="inlineStr">
        <is>
          <t>① 難度係数</t>
        </is>
      </c>
      <c r="B26" s="40" t="inlineStr">
        <is>
          <t>3.0 / 1.8 / 1.0 / 0.8</t>
        </is>
      </c>
      <c r="C26" s="17" t="inlineStr">
        <is>
          <t>★</t>
        </is>
      </c>
      <c r="D26" s="7" t="inlineStr">
        <is>
          <t>商品構成比から平均難度を導出している</t>
        </is>
      </c>
    </row>
    <row r="27">
      <c r="A27" s="5" t="inlineStr">
        <is>
          <t>① 商品構成比</t>
        </is>
      </c>
      <c r="B27" s="40" t="inlineStr">
        <is>
          <t>年を追って上位帯へシフト</t>
        </is>
      </c>
      <c r="C27" s="17" t="inlineStr">
        <is>
          <t>★</t>
        </is>
      </c>
      <c r="D27" s="7" t="inlineStr">
        <is>
          <t>事例が溜まるほど上の帯が取れる前提</t>
        </is>
      </c>
    </row>
    <row r="28">
      <c r="A28" s="5" t="inlineStr">
        <is>
          <t>① 営業の担当社数・リピート</t>
        </is>
      </c>
      <c r="B28" s="40" t="inlineStr">
        <is>
          <t>40社／年6本</t>
        </is>
      </c>
      <c r="C28" s="17" t="inlineStr">
        <is>
          <t>★</t>
        </is>
      </c>
      <c r="D28" s="7" t="inlineStr">
        <is>
          <t>エンタープライズ営業の標準的な水準</t>
        </is>
      </c>
    </row>
    <row r="29">
      <c r="A29" s="5" t="inlineStr">
        <is>
          <t>② SKU単価・席数・Ent比率</t>
        </is>
      </c>
      <c r="B29" s="40" t="inlineStr">
        <is>
          <t>商品マスタ② 参照</t>
        </is>
      </c>
      <c r="C29" s="17" t="inlineStr">
        <is>
          <t>★</t>
        </is>
      </c>
      <c r="D29" s="7" t="inlineStr">
        <is>
          <t>チェックポイントに重い値付け</t>
        </is>
      </c>
    </row>
    <row r="30">
      <c r="A30" s="5" t="inlineStr">
        <is>
          <t>③ 工数・上限価格・件数</t>
        </is>
      </c>
      <c r="B30" s="40" t="inlineStr">
        <is>
          <t>商品マスタ③ 参照</t>
        </is>
      </c>
      <c r="C30" s="17" t="inlineStr">
        <is>
          <t>★</t>
        </is>
      </c>
      <c r="D30" s="7" t="inlineStr">
        <is>
          <t>上限は日本の支払意思。実測ではない</t>
        </is>
      </c>
    </row>
    <row r="31">
      <c r="A31" s="5" t="inlineStr">
        <is>
          <t>③ システム原価の内訳</t>
        </is>
      </c>
      <c r="B31" s="40" t="inlineStr">
        <is>
          <t>尺・保管期間・トークン数</t>
        </is>
      </c>
      <c r="C31" s="17" t="inlineStr">
        <is>
          <t>★</t>
        </is>
      </c>
      <c r="D31" s="7" t="inlineStr">
        <is>
          <t>単価は公表値、使用量は仮置き</t>
        </is>
      </c>
    </row>
    <row r="32">
      <c r="A32" s="5" t="inlineStr">
        <is>
          <t>希薄化係数</t>
        </is>
      </c>
      <c r="B32" s="40" t="inlineStr">
        <is>
          <t>資本構成の推移 参照</t>
        </is>
      </c>
      <c r="C32" s="17" t="inlineStr">
        <is>
          <t>★</t>
        </is>
      </c>
      <c r="D32" s="7" t="inlineStr">
        <is>
          <t>シリーズA post 15億は未交渉</t>
        </is>
      </c>
    </row>
    <row r="33">
      <c r="A33" s="47" t="inlineStr">
        <is>
          <t>── 未確定 ──</t>
        </is>
      </c>
      <c r="B33" s="40" t="inlineStr"/>
      <c r="C33" s="16" t="inlineStr"/>
      <c r="D33" s="7" t="inlineStr"/>
    </row>
    <row r="34">
      <c r="A34" s="5" t="inlineStr">
        <is>
          <t>中国の映像制作パートナー</t>
        </is>
      </c>
      <c r="B34" s="40" t="inlineStr">
        <is>
          <t>社名 ［記入予定］</t>
        </is>
      </c>
      <c r="C34" s="17" t="inlineStr">
        <is>
          <t>未確定</t>
        </is>
      </c>
      <c r="D34" s="7" t="inlineStr">
        <is>
          <t>契約前。権利は日本側に帰属する設計</t>
        </is>
      </c>
    </row>
    <row r="35">
      <c r="A35" s="5" t="inlineStr">
        <is>
          <t>パートナーの取り分</t>
        </is>
      </c>
      <c r="B35" s="40" t="inlineStr">
        <is>
          <t>30%側か70%側か</t>
        </is>
      </c>
      <c r="C35" s="17" t="inlineStr">
        <is>
          <t>未確定</t>
        </is>
      </c>
      <c r="D35" s="7" t="inlineStr">
        <is>
          <t>契約で決まる。利益に直結する</t>
        </is>
      </c>
    </row>
    <row r="36">
      <c r="A36" s="5" t="inlineStr">
        <is>
          <t>業務委託の契約設計</t>
        </is>
      </c>
      <c r="B36" s="40" t="inlineStr">
        <is>
          <t>─</t>
        </is>
      </c>
      <c r="C36" s="17" t="inlineStr">
        <is>
          <t>未着手</t>
        </is>
      </c>
      <c r="D36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2026-09-23T08:37:01Z</dcterms:created>
  <dcterms:modified xmlns:dcterms="http://purl.org/dc/terms/" xmlns:xsi="http://www.w3.org/2001/XMLSchema-instance" xsi:type="dcterms:W3CDTF">2026-09-23T08:37:01Z</dcterms:modified>
</cp:coreProperties>
</file>