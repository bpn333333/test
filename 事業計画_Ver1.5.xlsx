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下限はクリエイターの留保価格（標準工数×時給÷(1−手数料)）。上限は日本の発注者の支払意思。工数は旧maxを標準に置き直した（ミニマムの見立てが甘かったため）。★上限・工数・件数は提案値。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D5*H5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D6*H6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D7*H7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D8*H8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D9*H9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D10*H10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D11*H11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D12*H12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D13*H13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D14*H14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D15*H15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D16*H16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D17*H17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D18*H18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21">
        <f>C35</f>
        <v/>
      </c>
      <c r="D5" s="21">
        <f>D35</f>
        <v/>
      </c>
      <c r="E5" s="21">
        <f>E35</f>
        <v/>
      </c>
      <c r="F5" s="21">
        <f>F35</f>
        <v/>
      </c>
      <c r="G5" s="21">
        <f>G35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  <row r="19">
      <c r="A19" s="12" t="inlineStr">
        <is>
          <t>オフショア開発（業務委託）— 単価は国別の実測</t>
        </is>
      </c>
    </row>
    <row r="20" ht="24" customHeight="1">
      <c r="A20" s="3" t="inlineStr">
        <is>
          <t>国</t>
        </is>
      </c>
      <c r="B20" s="3" t="inlineStr">
        <is>
          <t>シニア(万/月)</t>
        </is>
      </c>
      <c r="C20" s="3" t="inlineStr">
        <is>
          <t>リード(万/月)</t>
        </is>
      </c>
      <c r="D20" s="3" t="inlineStr">
        <is>
          <t>構成比</t>
        </is>
      </c>
      <c r="E20" s="3" t="inlineStr"/>
      <c r="F20" s="3" t="inlineStr"/>
      <c r="G20" s="3" t="inlineStr"/>
      <c r="H20" s="3" t="inlineStr">
        <is>
          <t>出所</t>
        </is>
      </c>
    </row>
    <row r="21">
      <c r="A21" s="5" t="inlineStr">
        <is>
          <t>ベトナム</t>
        </is>
      </c>
      <c r="B21" s="25" t="n">
        <v>50</v>
      </c>
      <c r="C21" s="25" t="n">
        <v>59</v>
      </c>
      <c r="D21" s="19" t="n">
        <v>0.7</v>
      </c>
      <c r="H21" s="7" t="inlineStr">
        <is>
          <t>オフショア開発.com 2026（シニア／ブリッジSE）。主軸</t>
        </is>
      </c>
    </row>
    <row r="22">
      <c r="A22" s="5" t="inlineStr">
        <is>
          <t>インド</t>
        </is>
      </c>
      <c r="B22" s="25" t="n">
        <v>45</v>
      </c>
      <c r="C22" s="25" t="n">
        <v>60</v>
      </c>
      <c r="D22" s="19" t="n">
        <v>0.3</v>
      </c>
      <c r="H22" s="7" t="inlineStr">
        <is>
          <t>同上。ベトナムより1割安く、英語圏で層が厚い</t>
        </is>
      </c>
    </row>
    <row r="23">
      <c r="A23" s="5" t="inlineStr">
        <is>
          <t>中国</t>
        </is>
      </c>
      <c r="B23" s="25" t="n">
        <v>71.7</v>
      </c>
      <c r="C23" s="25" t="n">
        <v>75.8</v>
      </c>
      <c r="D23" s="19" t="n">
        <v>0</v>
      </c>
      <c r="H23" s="7" t="inlineStr">
        <is>
          <t>参考。高いため外した</t>
        </is>
      </c>
    </row>
    <row r="24">
      <c r="A24" s="5" t="inlineStr">
        <is>
          <t>東欧</t>
        </is>
      </c>
      <c r="B24" s="25" t="n">
        <v>104</v>
      </c>
      <c r="C24" s="25" t="n">
        <v>124.8</v>
      </c>
      <c r="D24" s="19" t="n">
        <v>0</v>
      </c>
      <c r="H24" s="7" t="inlineStr">
        <is>
          <t>参考。Devico/RemoteMore/Wild.Codes 2026（月160h・150円換算）。最も高いため外した</t>
        </is>
      </c>
    </row>
    <row r="26">
      <c r="A26" s="4" t="inlineStr">
        <is>
          <t>シニア級 加重（万円/年）</t>
        </is>
      </c>
      <c r="B26" s="23">
        <f>SUMPRODUCT(B21:B24,D21:D24)*12</f>
        <v/>
      </c>
    </row>
    <row r="27">
      <c r="A27" s="4" t="inlineStr">
        <is>
          <t>リード級 加重（万円/年）</t>
        </is>
      </c>
      <c r="B27" s="6">
        <f>SUMPRODUCT(C21:C24,D21:D24)*12</f>
        <v/>
      </c>
      <c r="H27" s="7" t="inlineStr">
        <is>
          <t>AX前提はこちらを使う。人数を減らすかわりに上位層に絞る</t>
        </is>
      </c>
    </row>
    <row r="28">
      <c r="A28" s="36" t="inlineStr">
        <is>
          <t>⚠ 安い順は ミャンマー(40)＜インド(45)＜フィリピン(47.5)＜ベトナム(50)＜中国(71.7)＜東欧(104)。「中国が安い」のは剪辑師（月18.8万）の話で、エンジニアの受託単価ではない。</t>
        </is>
      </c>
    </row>
    <row r="29">
      <c r="A29" s="36" t="inlineStr">
        <is>
          <t>⚠ ロシア・ベラルーシは対象外。外為法の役務取引規制（2022/3/18〜）で経産大臣の許可制、限定的な例外を除き許可されない。送金も通らない。単価の問題ではなく、上場審査で主幹事・監査法人が必ず見る論点。ミャンマーは最安だが政情リスクで△。</t>
        </is>
      </c>
    </row>
    <row r="30">
      <c r="A30" s="12" t="inlineStr">
        <is>
          <t>エンジニアのAX化 — 人数を減らして単価を上げる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>
        <is>
          <t>考え方</t>
        </is>
      </c>
    </row>
    <row r="32">
      <c r="A32" s="5" t="inlineStr">
        <is>
          <t>必要開発工数（AXなし換算・人年）</t>
        </is>
      </c>
      <c r="B32" s="5" t="inlineStr"/>
      <c r="C32" s="18" t="n">
        <v>5</v>
      </c>
      <c r="D32" s="18" t="n">
        <v>10</v>
      </c>
      <c r="E32" s="18" t="n">
        <v>20</v>
      </c>
      <c r="F32" s="18" t="n">
        <v>30</v>
      </c>
      <c r="G32" s="18" t="n">
        <v>40</v>
      </c>
      <c r="H32" s="7" t="inlineStr">
        <is>
          <t>★プロダクト規模から</t>
        </is>
      </c>
    </row>
    <row r="33">
      <c r="A33" s="5" t="inlineStr">
        <is>
          <t>★ エンジニアのAX倍率</t>
        </is>
      </c>
      <c r="B33" s="5" t="inlineStr"/>
      <c r="C33" s="25" t="n">
        <v>1</v>
      </c>
      <c r="D33" s="25" t="n">
        <v>1.3</v>
      </c>
      <c r="E33" s="25" t="n">
        <v>1.7</v>
      </c>
      <c r="F33" s="25" t="n">
        <v>2.1</v>
      </c>
      <c r="G33" s="25" t="n">
        <v>2.5</v>
      </c>
      <c r="H33" s="7" t="inlineStr">
        <is>
          <t>★制作のAX（5期4.0倍）より保守的に置く</t>
        </is>
      </c>
    </row>
    <row r="34">
      <c r="A34" s="5" t="inlineStr">
        <is>
          <t>実エンジニア数（委託）</t>
        </is>
      </c>
      <c r="B34" s="5" t="inlineStr"/>
      <c r="C34" s="23">
        <f>ROUNDUP(C32/C33,0)</f>
        <v/>
      </c>
      <c r="D34" s="23">
        <f>ROUNDUP(D32/D33,0)</f>
        <v/>
      </c>
      <c r="E34" s="23">
        <f>ROUNDUP(E32/E33,0)</f>
        <v/>
      </c>
      <c r="F34" s="23">
        <f>ROUNDUP(F32/F33,0)</f>
        <v/>
      </c>
      <c r="G34" s="23">
        <f>ROUNDUP(G32/G33,0)</f>
        <v/>
      </c>
      <c r="H34" s="7" t="inlineStr">
        <is>
          <t>必要工数 ÷ AX倍率</t>
        </is>
      </c>
    </row>
    <row r="35">
      <c r="A35" s="5" t="inlineStr">
        <is>
          <t>PM（社員）</t>
        </is>
      </c>
      <c r="B35" s="5" t="inlineStr"/>
      <c r="C35" s="23">
        <f>ROUNDUP(C34/5,0)</f>
        <v/>
      </c>
      <c r="D35" s="23">
        <f>ROUNDUP(D34/5,0)</f>
        <v/>
      </c>
      <c r="E35" s="23">
        <f>ROUNDUP(E34/5,0)</f>
        <v/>
      </c>
      <c r="F35" s="23">
        <f>ROUNDUP(F34/5,0)</f>
        <v/>
      </c>
      <c r="G35" s="23">
        <f>ROUNDUP(G34/5,0)</f>
        <v/>
      </c>
      <c r="H35" s="7" t="inlineStr">
        <is>
          <t>1名で5名を見る。上の人件費表はここを参照</t>
        </is>
      </c>
    </row>
    <row r="36">
      <c r="A36" s="4" t="inlineStr">
        <is>
          <t>開発委託費（百万円）</t>
        </is>
      </c>
      <c r="B36" s="5" t="inlineStr"/>
      <c r="C36" s="6">
        <f>C34*$B$27/100</f>
        <v/>
      </c>
      <c r="D36" s="6">
        <f>D34*$B$27/100</f>
        <v/>
      </c>
      <c r="E36" s="6">
        <f>E34*$B$27/100</f>
        <v/>
      </c>
      <c r="F36" s="6">
        <f>F34*$B$27/100</f>
        <v/>
      </c>
      <c r="G36" s="6">
        <f>G34*$B$27/100</f>
        <v/>
      </c>
      <c r="H36" s="7" t="inlineStr">
        <is>
          <t>実人数 × リード級の年額</t>
        </is>
      </c>
    </row>
    <row r="38">
      <c r="A38" s="2" t="inlineStr">
        <is>
          <t>旧構成は社員40名。PM4名＋委託16名になる。単価は年808万→926万に上げても、委託費は5期300→148百万。1〜2期は逆に高くつく（AX倍率が立つ前に単価だけ上がるため）。制作のAXと同じ形で、先に投資して後で効く。</t>
        </is>
      </c>
    </row>
    <row r="40">
      <c r="A40" s="12" t="inlineStr">
        <is>
          <t>社外の専門家を前提にするなら、その費用が見えている必要がある</t>
        </is>
      </c>
    </row>
    <row r="41">
      <c r="A41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2" ht="24" customHeight="1">
      <c r="A42" s="3" t="inlineStr">
        <is>
          <t>費目</t>
        </is>
      </c>
      <c r="B42" s="3" t="inlineStr">
        <is>
          <t>下限</t>
        </is>
      </c>
      <c r="C42" s="3" t="inlineStr">
        <is>
          <t>上限</t>
        </is>
      </c>
      <c r="D42" s="3" t="inlineStr"/>
      <c r="E42" s="3" t="inlineStr"/>
      <c r="F42" s="3" t="inlineStr"/>
      <c r="G42" s="3" t="inlineStr"/>
      <c r="H42" s="3" t="inlineStr">
        <is>
          <t>備考</t>
        </is>
      </c>
    </row>
    <row r="43">
      <c r="A43" s="5" t="inlineStr">
        <is>
          <t>監査報酬（上場後）</t>
        </is>
      </c>
      <c r="B43" s="18" t="n">
        <v>40</v>
      </c>
      <c r="C43" s="18" t="n">
        <v>70</v>
      </c>
      <c r="H43" s="7" t="inlineStr">
        <is>
          <t>上場会社・売上108億規模</t>
        </is>
      </c>
    </row>
    <row r="44">
      <c r="A44" s="5" t="inlineStr">
        <is>
          <t>株式事務代行・IR</t>
        </is>
      </c>
      <c r="B44" s="18" t="n">
        <v>20</v>
      </c>
      <c r="C44" s="18" t="n">
        <v>40</v>
      </c>
      <c r="H44" s="7" t="inlineStr">
        <is>
          <t>信託銀行・開示書類・説明会</t>
        </is>
      </c>
    </row>
    <row r="45">
      <c r="A45" s="5" t="inlineStr">
        <is>
          <t>顧問弁護士</t>
        </is>
      </c>
      <c r="B45" s="18" t="n">
        <v>12</v>
      </c>
      <c r="C45" s="18" t="n">
        <v>30</v>
      </c>
      <c r="H45" s="7" t="inlineStr">
        <is>
          <t>契約審査・中国パートナー・業務委託設計</t>
        </is>
      </c>
    </row>
    <row r="46">
      <c r="A46" s="5" t="inlineStr">
        <is>
          <t>税理士・社会保険労務士</t>
        </is>
      </c>
      <c r="B46" s="18" t="n">
        <v>6</v>
      </c>
      <c r="C46" s="18" t="n">
        <v>12</v>
      </c>
      <c r="H46" s="7" t="inlineStr"/>
    </row>
    <row r="47">
      <c r="A47" s="5" t="inlineStr">
        <is>
          <t>オフィス（社員26名）</t>
        </is>
      </c>
      <c r="B47" s="18" t="n">
        <v>30</v>
      </c>
      <c r="C47" s="18" t="n">
        <v>50</v>
      </c>
      <c r="H47" s="7" t="inlineStr"/>
    </row>
    <row r="48">
      <c r="A48" s="5" t="inlineStr">
        <is>
          <t>SaaS・通信・インフラ（非開発）</t>
        </is>
      </c>
      <c r="B48" s="18" t="n">
        <v>20</v>
      </c>
      <c r="C48" s="18" t="n">
        <v>40</v>
      </c>
      <c r="H48" s="7" t="inlineStr"/>
    </row>
    <row r="49">
      <c r="A49" s="5" t="inlineStr">
        <is>
          <t>採用・教育</t>
        </is>
      </c>
      <c r="B49" s="18" t="n">
        <v>30</v>
      </c>
      <c r="C49" s="18" t="n">
        <v>60</v>
      </c>
      <c r="H49" s="7" t="inlineStr">
        <is>
          <t>PM・統括級の採用は単価が高い</t>
        </is>
      </c>
    </row>
    <row r="50">
      <c r="A50" s="5" t="inlineStr">
        <is>
          <t>旅費交通</t>
        </is>
      </c>
      <c r="B50" s="18" t="n">
        <v>30</v>
      </c>
      <c r="C50" s="18" t="n">
        <v>60</v>
      </c>
      <c r="H50" s="7" t="inlineStr">
        <is>
          <t>中国・ベトナム・東欧の往復</t>
        </is>
      </c>
    </row>
    <row r="51">
      <c r="A51" s="5" t="inlineStr">
        <is>
          <t>保険・その他</t>
        </is>
      </c>
      <c r="B51" s="18" t="n">
        <v>20</v>
      </c>
      <c r="C51" s="18" t="n">
        <v>40</v>
      </c>
      <c r="H51" s="7" t="inlineStr"/>
    </row>
    <row r="52">
      <c r="B52" s="21">
        <f>SUM(B43:B51)</f>
        <v/>
      </c>
      <c r="C52" s="21">
        <f>SUM(C43:C51)</f>
        <v/>
      </c>
    </row>
    <row r="53">
      <c r="C53" s="6">
        <f>'損益計算書'!G27</f>
        <v/>
      </c>
    </row>
    <row r="54">
      <c r="A54" s="4" t="inlineStr">
        <is>
          <t>判定</t>
        </is>
      </c>
      <c r="C54" s="34">
        <f>IF(C53&gt;=C52,"○ 上限まで賄える","× 足りない")</f>
        <v/>
      </c>
      <c r="H54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'人員と人件費'!C36</f>
        <v/>
      </c>
      <c r="D22" s="8">
        <f>'人員と人件費'!D36</f>
        <v/>
      </c>
      <c r="E22" s="8">
        <f>'人員と人件費'!E36</f>
        <v/>
      </c>
      <c r="F22" s="8">
        <f>'人員と人件費'!F36</f>
        <v/>
      </c>
      <c r="G22" s="8">
        <f>'人員と人件費'!G36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37">
        <f>SUM(C21:C27)</f>
        <v/>
      </c>
      <c r="D28" s="37">
        <f>SUM(D21:D27)</f>
        <v/>
      </c>
      <c r="E28" s="37">
        <f>SUM(E21:E27)</f>
        <v/>
      </c>
      <c r="F28" s="37">
        <f>SUM(F21:F27)</f>
        <v/>
      </c>
      <c r="G28" s="37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38">
        <f>IF(C12=0,0,C29/C12)</f>
        <v/>
      </c>
      <c r="D30" s="38">
        <f>IF(D12=0,0,D29/D12)</f>
        <v/>
      </c>
      <c r="E30" s="38">
        <f>IF(E12=0,0,E29/E12)</f>
        <v/>
      </c>
      <c r="F30" s="38">
        <f>IF(F12=0,0,F29/F12)</f>
        <v/>
      </c>
      <c r="G30" s="38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'損益計算書'!C29</f>
        <v/>
      </c>
      <c r="D4" s="37">
        <f>'損益計算書'!D29</f>
        <v/>
      </c>
      <c r="E4" s="37">
        <f>'損益計算書'!E29</f>
        <v/>
      </c>
      <c r="F4" s="37">
        <f>'損益計算書'!F29</f>
        <v/>
      </c>
      <c r="G4" s="37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8">
        <f>D26</f>
        <v/>
      </c>
      <c r="C30" s="16" t="inlineStr">
        <is>
          <t>—</t>
        </is>
      </c>
      <c r="D30" s="17" t="inlineStr">
        <is>
          <t>× 除外</t>
        </is>
      </c>
      <c r="E30" s="3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8">
        <f>E26</f>
        <v/>
      </c>
      <c r="C31" s="16" t="inlineStr">
        <is>
          <t>—</t>
        </is>
      </c>
      <c r="D31" s="17" t="inlineStr">
        <is>
          <t>× 除外</t>
        </is>
      </c>
      <c r="E31" s="3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8">
        <f>F26</f>
        <v/>
      </c>
      <c r="C32" s="16">
        <f>IF(B32&lt;0.1,"10%未満","10%以上")</f>
        <v/>
      </c>
      <c r="D32" s="16">
        <f>IF(B32&lt;0.1,"○ 算入","× 除外")</f>
        <v/>
      </c>
      <c r="E32" s="3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8">
        <f>G26</f>
        <v/>
      </c>
      <c r="C33" s="16">
        <f>IF(B33&lt;0.1,"10%未満","10%以上")</f>
        <v/>
      </c>
      <c r="D33" s="16">
        <f>IF(B33&lt;0.1,"○ 算入","× 除外")</f>
        <v/>
      </c>
      <c r="E33" s="3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8">
        <f>H26</f>
        <v/>
      </c>
      <c r="C34" s="16" t="inlineStr">
        <is>
          <t>—</t>
        </is>
      </c>
      <c r="D34" s="16" t="inlineStr">
        <is>
          <t>○ 算入</t>
        </is>
      </c>
      <c r="E34" s="3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2026-09-23T09:25:23Z</dcterms:created>
  <dcterms:modified xmlns:dcterms="http://purl.org/dc/terms/" xmlns:xsi="http://www.w3.org/2001/XMLSchema-instance" xsi:type="dcterms:W3CDTF">2026-09-23T09:25:24Z</dcterms:modified>
</cp:coreProperties>
</file>