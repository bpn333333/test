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'損益計算書'!C28</f>
        <v/>
      </c>
      <c r="D9" s="6">
        <f>'損益計算書'!D28</f>
        <v/>
      </c>
      <c r="E9" s="6">
        <f>'損益計算書'!E28</f>
        <v/>
      </c>
      <c r="F9" s="6">
        <f>'損益計算書'!F28</f>
        <v/>
      </c>
      <c r="G9" s="6">
        <f>'損益計算書'!G28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'損益計算書'!C29</f>
        <v/>
      </c>
      <c r="D10" s="9">
        <f>'損益計算書'!D29</f>
        <v/>
      </c>
      <c r="E10" s="9">
        <f>'損益計算書'!E29</f>
        <v/>
      </c>
      <c r="F10" s="9">
        <f>'損益計算書'!F29</f>
        <v/>
      </c>
      <c r="G10" s="9">
        <f>'損益計算書'!G29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'損益計算書'!C32</f>
        <v/>
      </c>
      <c r="D13" s="8">
        <f>'損益計算書'!D32</f>
        <v/>
      </c>
      <c r="E13" s="8">
        <f>'損益計算書'!E32</f>
        <v/>
      </c>
      <c r="F13" s="8">
        <f>'損益計算書'!F32</f>
        <v/>
      </c>
      <c r="G13" s="8">
        <f>'損益計算書'!G32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'損益計算書'!C33</f>
        <v/>
      </c>
      <c r="D14" s="6">
        <f>'損益計算書'!D33</f>
        <v/>
      </c>
      <c r="E14" s="6">
        <f>'損益計算書'!E33</f>
        <v/>
      </c>
      <c r="F14" s="6">
        <f>'損益計算書'!F33</f>
        <v/>
      </c>
      <c r="G14" s="6">
        <f>'損益計算書'!G33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'損益計算書'!C36</f>
        <v/>
      </c>
      <c r="D15" s="9">
        <f>'損益計算書'!D36</f>
        <v/>
      </c>
      <c r="E15" s="9">
        <f>'損益計算書'!E36</f>
        <v/>
      </c>
      <c r="F15" s="9">
        <f>'損益計算書'!F36</f>
        <v/>
      </c>
      <c r="G15" s="9">
        <f>'損益計算書'!G36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'損益計算書'!C34</f>
        <v/>
      </c>
      <c r="D16" s="10">
        <f>'損益計算書'!D34</f>
        <v/>
      </c>
      <c r="E16" s="10">
        <f>'損益計算書'!E34</f>
        <v/>
      </c>
      <c r="F16" s="10">
        <f>'損益計算書'!F34</f>
        <v/>
      </c>
      <c r="G16" s="10">
        <f>'損益計算書'!G34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'損益計算書'!C37</f>
        <v/>
      </c>
      <c r="D18" s="8">
        <f>'損益計算書'!D37</f>
        <v/>
      </c>
      <c r="E18" s="8">
        <f>'損益計算書'!E37</f>
        <v/>
      </c>
      <c r="F18" s="8">
        <f>'損益計算書'!F37</f>
        <v/>
      </c>
      <c r="G18" s="8">
        <f>'損益計算書'!G37</f>
        <v/>
      </c>
      <c r="H18" s="7" t="inlineStr">
        <is>
          <t>①の提案の中身</t>
        </is>
      </c>
    </row>
    <row r="20">
      <c r="A20" s="12" t="inlineStr">
        <is>
          <t>シード投資家（1.42億）のリターン</t>
        </is>
      </c>
    </row>
    <row r="21" ht="24" customHeight="1">
      <c r="A21" s="3" t="inlineStr">
        <is>
          <t>ケース</t>
        </is>
      </c>
      <c r="B21" s="3" t="inlineStr"/>
      <c r="C21" s="3" t="inlineStr">
        <is>
          <t>時価総額(億)</t>
        </is>
      </c>
      <c r="D21" s="3" t="inlineStr">
        <is>
          <t>取り分(億)</t>
        </is>
      </c>
      <c r="E21" s="3" t="inlineStr">
        <is>
          <t>倍率</t>
        </is>
      </c>
      <c r="F21" s="3" t="inlineStr">
        <is>
          <t>IRR</t>
        </is>
      </c>
      <c r="G21" s="3" t="inlineStr"/>
      <c r="H21" s="3" t="inlineStr">
        <is>
          <t>根拠</t>
        </is>
      </c>
    </row>
    <row r="22">
      <c r="A22" s="4" t="inlineStr">
        <is>
          <t>ライン別・保守</t>
        </is>
      </c>
      <c r="B22" s="5" t="inlineStr"/>
      <c r="C22" s="8">
        <f>'資本政策とリターン'!E13</f>
        <v/>
      </c>
      <c r="D22" s="13">
        <f>'資本政策とリターン'!F13</f>
        <v/>
      </c>
      <c r="E22" s="14">
        <f>'資本政策とリターン'!G13</f>
        <v/>
      </c>
      <c r="F22" s="10">
        <f>'資本政策とリターン'!H13</f>
        <v/>
      </c>
      <c r="G22" s="5" t="inlineStr"/>
      <c r="H22" s="7" t="inlineStr">
        <is>
          <t>ツール6倍＋C2C4倍＋制作1.5倍</t>
        </is>
      </c>
    </row>
    <row r="23">
      <c r="A23" s="4" t="inlineStr">
        <is>
          <t>ライン別・中庸</t>
        </is>
      </c>
      <c r="B23" s="5" t="inlineStr"/>
      <c r="C23" s="8">
        <f>'資本政策とリターン'!E14</f>
        <v/>
      </c>
      <c r="D23" s="13">
        <f>'資本政策とリターン'!F14</f>
        <v/>
      </c>
      <c r="E23" s="14">
        <f>'資本政策とリターン'!G14</f>
        <v/>
      </c>
      <c r="F23" s="10">
        <f>'資本政策とリターン'!H14</f>
        <v/>
      </c>
      <c r="G23" s="5" t="inlineStr"/>
      <c r="H23" s="7" t="inlineStr">
        <is>
          <t>ツール7倍＋C2C5倍＋制作2.0倍</t>
        </is>
      </c>
    </row>
    <row r="24">
      <c r="A24" s="4" t="inlineStr">
        <is>
          <t>ライン別・強気</t>
        </is>
      </c>
      <c r="B24" s="5" t="inlineStr"/>
      <c r="C24" s="8">
        <f>'資本政策とリターン'!E15</f>
        <v/>
      </c>
      <c r="D24" s="13">
        <f>'資本政策とリターン'!F15</f>
        <v/>
      </c>
      <c r="E24" s="14">
        <f>'資本政策とリターン'!G15</f>
        <v/>
      </c>
      <c r="F24" s="10">
        <f>'資本政策とリターン'!H15</f>
        <v/>
      </c>
      <c r="G24" s="5" t="inlineStr"/>
      <c r="H24" s="7" t="inlineStr">
        <is>
          <t>ツール8倍＋C2C6倍＋制作2.5倍</t>
        </is>
      </c>
    </row>
    <row r="25">
      <c r="A25" s="4" t="inlineStr">
        <is>
          <t>全社 PSR 4倍</t>
        </is>
      </c>
      <c r="B25" s="5" t="inlineStr"/>
      <c r="C25" s="8">
        <f>'資本政策とリターン'!E19</f>
        <v/>
      </c>
      <c r="D25" s="13">
        <f>'資本政策とリターン'!F19</f>
        <v/>
      </c>
      <c r="E25" s="14">
        <f>'資本政策とリターン'!G19</f>
        <v/>
      </c>
      <c r="F25" s="10">
        <f>'資本政策とリターン'!H19</f>
        <v/>
      </c>
      <c r="G25" s="5" t="inlineStr"/>
      <c r="H25" s="7" t="inlineStr">
        <is>
          <t>人手に比例しない収益が9割であること</t>
        </is>
      </c>
    </row>
    <row r="26">
      <c r="A26" s="4" t="inlineStr">
        <is>
          <t>全社 PSR 5倍</t>
        </is>
      </c>
      <c r="B26" s="5" t="inlineStr"/>
      <c r="C26" s="8">
        <f>'資本政策とリターン'!E20</f>
        <v/>
      </c>
      <c r="D26" s="13">
        <f>'資本政策とリターン'!F20</f>
        <v/>
      </c>
      <c r="E26" s="14">
        <f>'資本政策とリターン'!G20</f>
        <v/>
      </c>
      <c r="F26" s="10">
        <f>'資本政策とリターン'!H20</f>
        <v/>
      </c>
      <c r="G26" s="5" t="inlineStr"/>
      <c r="H26" s="7" t="inlineStr"/>
    </row>
    <row r="28">
      <c r="A28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0">
      <c r="A30" s="12" t="inlineStr">
        <is>
          <t>このモデルの読み方</t>
        </is>
      </c>
    </row>
    <row r="31">
      <c r="A31" s="2" t="inlineStr">
        <is>
          <t>入力は「前提」と3つの「商品マスタ」の黄色セルだけ。ほかは全部そこを参照する数式。</t>
        </is>
      </c>
    </row>
    <row r="32">
      <c r="A32" s="2" t="inlineStr">
        <is>
          <t>①の平均単価と平均難度は、商品構成比から導出される。直接は入力できない。</t>
        </is>
      </c>
    </row>
    <row r="33">
      <c r="A33" s="2" t="inlineStr">
        <is>
          <t>③は成約が価格帯のどこに落ちるかで3倍動く。いまは中点（均等）を採用している。</t>
        </is>
      </c>
    </row>
    <row r="34">
      <c r="A34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下限はクリエイターの留保価格（工数×時給÷(1−手数料)）。上限は日本の発注者の支払意思。両側から挟まれた中で価格が決まる。★上限・工数・件数は提案値。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工数min</t>
        </is>
      </c>
      <c r="D3" s="3" t="inlineStr">
        <is>
          <t>工数max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ROUNDUP('クリエイター経済'!$B$10*C5/(1-$B$26)/500,0)*500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(C5+D5)/2*H5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ROUNDUP('クリエイター経済'!$B$10*C6/(1-$B$26)/500,0)*500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(C6+D6)/2*H6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ROUNDUP('クリエイター経済'!$B$10*C7/(1-$B$26)/500,0)*500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(C7+D7)/2*H7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ROUNDUP('クリエイター経済'!$B$10*C8/(1-$B$26)/500,0)*500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(C8+D8)/2*H8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ROUNDUP('クリエイター経済'!$B$10*C9/(1-$B$26)/500,0)*500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(C9+D9)/2*H9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ROUNDUP('クリエイター経済'!$B$10*C10/(1-$B$26)/500,0)*500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(C10+D10)/2*H10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ROUNDUP('クリエイター経済'!$B$10*C11/(1-$B$26)/500,0)*500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(C11+D11)/2*H11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ROUNDUP('クリエイター経済'!$B$10*C12/(1-$B$26)/500,0)*500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(C12+D12)/2*H12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ROUNDUP('クリエイター経済'!$B$10*C13/(1-$B$26)/500,0)*500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(C13+D13)/2*H13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ROUNDUP('クリエイター経済'!$B$10*C14/(1-$B$26)/500,0)*500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(C14+D14)/2*H14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ROUNDUP('クリエイター経済'!$B$10*C15/(1-$B$26)/500,0)*500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(C15+D15)/2*H15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ROUNDUP('クリエイター経済'!$B$10*C16/(1-$B$26)/500,0)*500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(C16+D16)/2*H16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ROUNDUP('クリエイター経済'!$B$10*C17/(1-$B$26)/500,0)*500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(C17+D17)/2*H17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ROUNDUP('クリエイター経済'!$B$10*C18/(1-$B$26)/500,0)*500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(C18+D18)/2*H18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人員と人件費（社員は極小）</t>
        </is>
      </c>
    </row>
    <row r="2">
      <c r="A2" s="2" t="inlineStr">
        <is>
          <t>制作ディレクション・CS・オペレーションは社員ではなく業務委託／BPO。社員は経営・モデル開発・各機能の統括・管理のみ。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モデル開発エンジニア</t>
        </is>
      </c>
      <c r="B5" s="18" t="n">
        <v>850</v>
      </c>
      <c r="C5" s="18" t="n">
        <v>2</v>
      </c>
      <c r="D5" s="18" t="n">
        <v>6</v>
      </c>
      <c r="E5" s="18" t="n">
        <v>16</v>
      </c>
      <c r="F5" s="18" t="n">
        <v>28</v>
      </c>
      <c r="G5" s="18" t="n">
        <v>40</v>
      </c>
      <c r="H5" s="7" t="inlineStr">
        <is>
          <t>AX倍率を上げ続ける中核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2</v>
      </c>
      <c r="F9" s="18" t="n">
        <v>4</v>
      </c>
      <c r="G9" s="18" t="n">
        <v>6</v>
      </c>
      <c r="H9" s="7" t="inlineStr">
        <is>
          <t>経理・法務・上場準備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研究開発費</t>
        </is>
      </c>
      <c r="B22" s="5" t="inlineStr"/>
      <c r="C22" s="8">
        <f>'前提'!$C$9</f>
        <v/>
      </c>
      <c r="D22" s="8">
        <f>'前提'!$D$9</f>
        <v/>
      </c>
      <c r="E22" s="8">
        <f>'前提'!$E$9</f>
        <v/>
      </c>
      <c r="F22" s="8">
        <f>'前提'!$F$9</f>
        <v/>
      </c>
      <c r="G22" s="8">
        <f>'前提'!$G$9</f>
        <v/>
      </c>
      <c r="H22" s="7" t="inlineStr">
        <is>
          <t>AX倍率を上げ続けるための投資</t>
        </is>
      </c>
    </row>
    <row r="23">
      <c r="A23" s="5" t="inlineStr">
        <is>
          <t>BPO（CS・運用）</t>
        </is>
      </c>
      <c r="B23" s="5" t="inlineStr"/>
      <c r="C23" s="8">
        <f>'前提'!$C$10</f>
        <v/>
      </c>
      <c r="D23" s="8">
        <f>'前提'!$D$10</f>
        <v/>
      </c>
      <c r="E23" s="8">
        <f>'前提'!$E$10</f>
        <v/>
      </c>
      <c r="F23" s="8">
        <f>'前提'!$F$10</f>
        <v/>
      </c>
      <c r="G23" s="8">
        <f>'前提'!$G$10</f>
        <v/>
      </c>
    </row>
    <row r="24">
      <c r="A24" s="5" t="inlineStr">
        <is>
          <t>獲得費</t>
        </is>
      </c>
      <c r="B24" s="5" t="inlineStr"/>
      <c r="C24" s="8">
        <f>C4*'前提'!$C$12+C10*'前提'!$C$13+'前提'!$C$11</f>
        <v/>
      </c>
      <c r="D24" s="8">
        <f>D4*'前提'!$D$12+D10*'前提'!$D$13+'前提'!$D$11</f>
        <v/>
      </c>
      <c r="E24" s="8">
        <f>E4*'前提'!$E$12+E10*'前提'!$E$13+'前提'!$E$11</f>
        <v/>
      </c>
      <c r="F24" s="8">
        <f>F4*'前提'!$F$12+F10*'前提'!$F$13+'前提'!$F$11</f>
        <v/>
      </c>
      <c r="G24" s="8">
        <f>G4*'前提'!$G$12+G10*'前提'!$G$13+'前提'!$G$11</f>
        <v/>
      </c>
    </row>
    <row r="25">
      <c r="A25" s="5" t="inlineStr">
        <is>
          <t>代理店手数料</t>
        </is>
      </c>
      <c r="B25" s="5" t="inlineStr"/>
      <c r="C25" s="8">
        <f>C4*'前提'!$C$14*'前提'!$C$15</f>
        <v/>
      </c>
      <c r="D25" s="8">
        <f>D4*'前提'!$D$14*'前提'!$D$15</f>
        <v/>
      </c>
      <c r="E25" s="8">
        <f>E4*'前提'!$E$14*'前提'!$E$15</f>
        <v/>
      </c>
      <c r="F25" s="8">
        <f>F4*'前提'!$F$14*'前提'!$F$15</f>
        <v/>
      </c>
      <c r="G25" s="8">
        <f>G4*'前提'!$G$14*'前提'!$G$15</f>
        <v/>
      </c>
      <c r="H25" s="7" t="inlineStr">
        <is>
          <t>①の代理店チャネル分のみ</t>
        </is>
      </c>
    </row>
    <row r="26">
      <c r="A26" s="5" t="inlineStr">
        <is>
          <t>その他販管費</t>
        </is>
      </c>
      <c r="B26" s="5" t="inlineStr"/>
      <c r="C26" s="8">
        <f>C12*'前提'!$C$16</f>
        <v/>
      </c>
      <c r="D26" s="8">
        <f>D12*'前提'!$D$16</f>
        <v/>
      </c>
      <c r="E26" s="8">
        <f>E12*'前提'!$E$16</f>
        <v/>
      </c>
      <c r="F26" s="8">
        <f>F12*'前提'!$F$16</f>
        <v/>
      </c>
      <c r="G26" s="8">
        <f>G12*'前提'!$G$16</f>
        <v/>
      </c>
    </row>
    <row r="27">
      <c r="A27" s="4" t="inlineStr">
        <is>
          <t>販売費・一般管理費 計</t>
        </is>
      </c>
      <c r="B27" s="5" t="inlineStr"/>
      <c r="C27" s="37">
        <f>SUM(C21:C26)</f>
        <v/>
      </c>
      <c r="D27" s="37">
        <f>SUM(D21:D26)</f>
        <v/>
      </c>
      <c r="E27" s="37">
        <f>SUM(E21:E26)</f>
        <v/>
      </c>
      <c r="F27" s="37">
        <f>SUM(F21:F26)</f>
        <v/>
      </c>
      <c r="G27" s="37">
        <f>SUM(G21:G26)</f>
        <v/>
      </c>
    </row>
    <row r="28">
      <c r="A28" s="4" t="inlineStr">
        <is>
          <t>営業利益</t>
        </is>
      </c>
      <c r="B28" s="5" t="inlineStr"/>
      <c r="C28" s="6">
        <f>C18-C27</f>
        <v/>
      </c>
      <c r="D28" s="6">
        <f>D18-D27</f>
        <v/>
      </c>
      <c r="E28" s="6">
        <f>E18-E27</f>
        <v/>
      </c>
      <c r="F28" s="6">
        <f>F18-F27</f>
        <v/>
      </c>
      <c r="G28" s="6">
        <f>G18-G27</f>
        <v/>
      </c>
    </row>
    <row r="29">
      <c r="A29" s="4" t="inlineStr">
        <is>
          <t xml:space="preserve">　営業利益率</t>
        </is>
      </c>
      <c r="B29" s="5" t="inlineStr"/>
      <c r="C29" s="38">
        <f>IF(C12=0,0,C28/C12)</f>
        <v/>
      </c>
      <c r="D29" s="38">
        <f>IF(D12=0,0,D28/D12)</f>
        <v/>
      </c>
      <c r="E29" s="38">
        <f>IF(E12=0,0,E28/E12)</f>
        <v/>
      </c>
      <c r="F29" s="38">
        <f>IF(F12=0,0,F28/F12)</f>
        <v/>
      </c>
      <c r="G29" s="38">
        <f>IF(G12=0,0,G28/G12)</f>
        <v/>
      </c>
    </row>
    <row r="31">
      <c r="A31" s="12" t="inlineStr">
        <is>
          <t>投資家が見る指標</t>
        </is>
      </c>
    </row>
    <row r="32">
      <c r="A32" s="5" t="inlineStr">
        <is>
          <t>社員数</t>
        </is>
      </c>
      <c r="B32" s="5" t="inlineStr"/>
      <c r="C32" s="8">
        <f>'人員と人件費'!C10</f>
        <v/>
      </c>
      <c r="D32" s="8">
        <f>'人員と人件費'!D10</f>
        <v/>
      </c>
      <c r="E32" s="8">
        <f>'人員と人件費'!E10</f>
        <v/>
      </c>
      <c r="F32" s="8">
        <f>'人員と人件費'!F10</f>
        <v/>
      </c>
      <c r="G32" s="8">
        <f>'人員と人件費'!G10</f>
        <v/>
      </c>
    </row>
    <row r="33">
      <c r="A33" s="4" t="inlineStr">
        <is>
          <t>売上 / 社員（万円）</t>
        </is>
      </c>
      <c r="B33" s="5" t="inlineStr"/>
      <c r="C33" s="6">
        <f>IF(C32=0,0,C12*100/C32)</f>
        <v/>
      </c>
      <c r="D33" s="6">
        <f>IF(D32=0,0,D12*100/D32)</f>
        <v/>
      </c>
      <c r="E33" s="6">
        <f>IF(E32=0,0,E12*100/E32)</f>
        <v/>
      </c>
      <c r="F33" s="6">
        <f>IF(F32=0,0,F12*100/F32)</f>
        <v/>
      </c>
      <c r="G33" s="6">
        <f>IF(G32=0,0,G12*100/G32)</f>
        <v/>
      </c>
      <c r="H33" s="7" t="inlineStr">
        <is>
          <t>国内SaaSの平均2,000〜4,000万との比較</t>
        </is>
      </c>
    </row>
    <row r="34">
      <c r="A34" s="5" t="inlineStr">
        <is>
          <t>研究開発費 ÷ 売上</t>
        </is>
      </c>
      <c r="B34" s="5" t="inlineStr"/>
      <c r="C34" s="10">
        <f>IF(C12=0,0,C22/C12)</f>
        <v/>
      </c>
      <c r="D34" s="10">
        <f>IF(D12=0,0,D22/D12)</f>
        <v/>
      </c>
      <c r="E34" s="10">
        <f>IF(E12=0,0,E22/E12)</f>
        <v/>
      </c>
      <c r="F34" s="10">
        <f>IF(F12=0,0,F22/F12)</f>
        <v/>
      </c>
      <c r="G34" s="10">
        <f>IF(G12=0,0,G22/G12)</f>
        <v/>
      </c>
    </row>
    <row r="35">
      <c r="A35" s="5" t="inlineStr">
        <is>
          <t>人手に比例しない収益</t>
        </is>
      </c>
      <c r="B35" s="5" t="inlineStr"/>
      <c r="C35" s="8">
        <f>C10+C11+C4*(1-1/'前提'!$C$4)</f>
        <v/>
      </c>
      <c r="D35" s="8">
        <f>D10+D11+D4*(1-1/'前提'!$D$4)</f>
        <v/>
      </c>
      <c r="E35" s="8">
        <f>E10+E11+E4*(1-1/'前提'!$E$4)</f>
        <v/>
      </c>
      <c r="F35" s="8">
        <f>F10+F11+F4*(1-1/'前提'!$F$4)</f>
        <v/>
      </c>
      <c r="G35" s="8">
        <f>G10+G11+G4*(1-1/'前提'!$G$4)</f>
        <v/>
      </c>
      <c r="H35" s="7" t="inlineStr">
        <is>
          <t>②＋③＋①のうちAXで人手から切れた分</t>
        </is>
      </c>
    </row>
    <row r="36">
      <c r="A36" s="4" t="inlineStr">
        <is>
          <t xml:space="preserve">　同 比率</t>
        </is>
      </c>
      <c r="B36" s="5" t="inlineStr"/>
      <c r="C36" s="9">
        <f>IF(C12=0,0,C35/C12)</f>
        <v/>
      </c>
      <c r="D36" s="9">
        <f>IF(D12=0,0,D35/D12)</f>
        <v/>
      </c>
      <c r="E36" s="9">
        <f>IF(E12=0,0,E35/E12)</f>
        <v/>
      </c>
      <c r="F36" s="9">
        <f>IF(F12=0,0,F35/F12)</f>
        <v/>
      </c>
      <c r="G36" s="9">
        <f>IF(G12=0,0,G35/G12)</f>
        <v/>
      </c>
      <c r="H36" s="7" t="inlineStr">
        <is>
          <t>受託と読まれないための中心指標</t>
        </is>
      </c>
    </row>
    <row r="37">
      <c r="A37" s="5" t="inlineStr">
        <is>
          <t>顧客が浮かせる額</t>
        </is>
      </c>
      <c r="B37" s="5" t="inlineStr"/>
      <c r="C37" s="8">
        <f>'商品マスタ①'!I14</f>
        <v/>
      </c>
      <c r="D37" s="8">
        <f>'商品マスタ①'!J14</f>
        <v/>
      </c>
      <c r="E37" s="8">
        <f>'商品マスタ①'!K14</f>
        <v/>
      </c>
      <c r="F37" s="8">
        <f>'商品マスタ①'!L14</f>
        <v/>
      </c>
      <c r="G37" s="8">
        <f>'商品マスタ①'!M14</f>
        <v/>
      </c>
      <c r="H37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'損益計算書'!C28</f>
        <v/>
      </c>
      <c r="D4" s="37">
        <f>'損益計算書'!D28</f>
        <v/>
      </c>
      <c r="E4" s="37">
        <f>'損益計算書'!E28</f>
        <v/>
      </c>
      <c r="F4" s="37">
        <f>'損益計算書'!F28</f>
        <v/>
      </c>
      <c r="G4" s="37">
        <f>'損益計算書'!G28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2026-09-23T08:53:13Z</dcterms:created>
  <dcterms:modified xmlns:dcterms="http://purl.org/dc/terms/" xmlns:xsi="http://www.w3.org/2001/XMLSchema-instance" xsi:type="dcterms:W3CDTF">2026-09-23T08:53:13Z</dcterms:modified>
</cp:coreProperties>
</file>