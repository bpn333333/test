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C37</f>
        <v/>
      </c>
      <c r="D5" s="21">
        <f>D37</f>
        <v/>
      </c>
      <c r="E5" s="21">
        <f>E37</f>
        <v/>
      </c>
      <c r="F5" s="21">
        <f>F37</f>
        <v/>
      </c>
      <c r="G5" s="21">
        <f>G37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オフショア開発（業務委託）— ベトナム内のピラミッド</t>
        </is>
      </c>
    </row>
    <row r="20" ht="24" customHeight="1">
      <c r="A20" s="3" t="inlineStr">
        <is>
          <t>国・職位</t>
        </is>
      </c>
      <c r="B20" s="3" t="inlineStr">
        <is>
          <t>月額(万)</t>
        </is>
      </c>
      <c r="C20" s="3" t="inlineStr">
        <is>
          <t>構成比</t>
        </is>
      </c>
      <c r="D20" s="3" t="inlineStr"/>
      <c r="E20" s="3" t="inlineStr"/>
      <c r="F20" s="3" t="inlineStr"/>
      <c r="G20" s="3" t="inlineStr"/>
      <c r="H20" s="3" t="inlineStr">
        <is>
          <t>出所・考え方</t>
        </is>
      </c>
    </row>
    <row r="21">
      <c r="A21" s="5" t="inlineStr">
        <is>
          <t>ベトナム ブリッジSE</t>
        </is>
      </c>
      <c r="B21" s="25" t="n">
        <v>59</v>
      </c>
      <c r="C21" s="19" t="n">
        <v>0.2</v>
      </c>
      <c r="H21" s="7" t="inlineStr">
        <is>
          <t>オフショア開発.com 2026。レビューと設計を担う上位層</t>
        </is>
      </c>
    </row>
    <row r="22">
      <c r="A22" s="5" t="inlineStr">
        <is>
          <t>ベトナム プログラマー</t>
        </is>
      </c>
      <c r="B22" s="25" t="n">
        <v>40.1</v>
      </c>
      <c r="C22" s="19" t="n">
        <v>0.8</v>
      </c>
      <c r="H22" s="7" t="inlineStr">
        <is>
          <t>同上。実装を担う</t>
        </is>
      </c>
    </row>
    <row r="23">
      <c r="A23" s="5" t="inlineStr">
        <is>
          <t>インド ブリッジSE</t>
        </is>
      </c>
      <c r="B23" s="25" t="n">
        <v>60</v>
      </c>
      <c r="C23" s="19" t="n">
        <v>0</v>
      </c>
      <c r="H23" s="7" t="inlineStr">
        <is>
          <t>参考。上位層で入れる場合</t>
        </is>
      </c>
    </row>
    <row r="24">
      <c r="A24" s="5" t="inlineStr">
        <is>
          <t>インド プログラマー</t>
        </is>
      </c>
      <c r="B24" s="25" t="n">
        <v>37.5</v>
      </c>
      <c r="C24" s="19" t="n">
        <v>0</v>
      </c>
      <c r="H24" s="7" t="inlineStr">
        <is>
          <t>参考。ミドルを別国にすると継ぎ目が増える</t>
        </is>
      </c>
    </row>
    <row r="25">
      <c r="A25" s="5" t="inlineStr">
        <is>
          <t>中国 シニア</t>
        </is>
      </c>
      <c r="B25" s="25" t="n">
        <v>71.7</v>
      </c>
      <c r="C25" s="19" t="n">
        <v>0</v>
      </c>
      <c r="H25" s="7" t="inlineStr">
        <is>
          <t>参考。ベトナムBSEより21%高い</t>
        </is>
      </c>
    </row>
    <row r="26">
      <c r="A26" s="5" t="inlineStr">
        <is>
          <t>東欧 シニア</t>
        </is>
      </c>
      <c r="B26" s="25" t="n">
        <v>104</v>
      </c>
      <c r="C26" s="19" t="n">
        <v>0</v>
      </c>
      <c r="H26" s="7" t="inlineStr">
        <is>
          <t>参考。最も高い</t>
        </is>
      </c>
    </row>
    <row r="27">
      <c r="A27" s="4" t="inlineStr">
        <is>
          <t>構成比 合計</t>
        </is>
      </c>
      <c r="C27" s="38">
        <f>SUM(C21:C26)</f>
        <v/>
      </c>
    </row>
    <row r="28">
      <c r="A28" s="4" t="inlineStr">
        <is>
          <t>加重単価（万円/年）</t>
        </is>
      </c>
      <c r="B28" s="6">
        <f>SUMPRODUCT(B21:B26,C21:C26)*12</f>
        <v/>
      </c>
      <c r="H28" s="7" t="inlineStr">
        <is>
          <t>ブリッジSE 20% ＋ プログラマー 80%</t>
        </is>
      </c>
    </row>
    <row r="29">
      <c r="A29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0">
      <c r="A30" s="36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2">
      <c r="A32" s="12" t="inlineStr">
        <is>
          <t>エンジニアのAX化 — 人数を減らして単価の高い層に寄せる</t>
        </is>
      </c>
    </row>
    <row r="33" ht="24" customHeight="1">
      <c r="A33" s="3" t="inlineStr">
        <is>
          <t>項目</t>
        </is>
      </c>
      <c r="B33" s="3" t="inlineStr"/>
      <c r="C33" s="3" t="inlineStr">
        <is>
          <t>1期</t>
        </is>
      </c>
      <c r="D33" s="3" t="inlineStr">
        <is>
          <t>2期</t>
        </is>
      </c>
      <c r="E33" s="3" t="inlineStr">
        <is>
          <t>3期</t>
        </is>
      </c>
      <c r="F33" s="3" t="inlineStr">
        <is>
          <t>4期</t>
        </is>
      </c>
      <c r="G33" s="3" t="inlineStr">
        <is>
          <t>5期</t>
        </is>
      </c>
      <c r="H33" s="3" t="inlineStr">
        <is>
          <t>考え方</t>
        </is>
      </c>
    </row>
    <row r="34">
      <c r="A34" s="5" t="inlineStr">
        <is>
          <t>必要開発工数（AXなし換算・人年）</t>
        </is>
      </c>
      <c r="B34" s="5" t="inlineStr"/>
      <c r="C34" s="18" t="n">
        <v>5</v>
      </c>
      <c r="D34" s="18" t="n">
        <v>10</v>
      </c>
      <c r="E34" s="18" t="n">
        <v>20</v>
      </c>
      <c r="F34" s="18" t="n">
        <v>30</v>
      </c>
      <c r="G34" s="18" t="n">
        <v>40</v>
      </c>
      <c r="H34" s="7" t="inlineStr">
        <is>
          <t>★プロダクト規模から</t>
        </is>
      </c>
    </row>
    <row r="35">
      <c r="A35" s="5" t="inlineStr">
        <is>
          <t>★ エンジニアのAX倍率</t>
        </is>
      </c>
      <c r="B35" s="5" t="inlineStr"/>
      <c r="C35" s="25" t="n">
        <v>1</v>
      </c>
      <c r="D35" s="25" t="n">
        <v>1.2</v>
      </c>
      <c r="E35" s="25" t="n">
        <v>1.5</v>
      </c>
      <c r="F35" s="25" t="n">
        <v>1.9</v>
      </c>
      <c r="G35" s="25" t="n">
        <v>2.2</v>
      </c>
      <c r="H35" s="7" t="inlineStr">
        <is>
          <t>★ミドル中心なのでレビューがボトルネックになる。制作(4.0)より低く置く</t>
        </is>
      </c>
    </row>
    <row r="36">
      <c r="A36" s="5" t="inlineStr">
        <is>
          <t>実エンジニア数（委託）</t>
        </is>
      </c>
      <c r="B36" s="5" t="inlineStr"/>
      <c r="C36" s="23">
        <f>ROUNDUP(C34/C35,0)</f>
        <v/>
      </c>
      <c r="D36" s="23">
        <f>ROUNDUP(D34/D35,0)</f>
        <v/>
      </c>
      <c r="E36" s="23">
        <f>ROUNDUP(E34/E35,0)</f>
        <v/>
      </c>
      <c r="F36" s="23">
        <f>ROUNDUP(F34/F35,0)</f>
        <v/>
      </c>
      <c r="G36" s="23">
        <f>ROUNDUP(G34/G35,0)</f>
        <v/>
      </c>
      <c r="H36" s="7" t="inlineStr">
        <is>
          <t>必要工数 ÷ AX倍率</t>
        </is>
      </c>
    </row>
    <row r="37">
      <c r="A37" s="5" t="inlineStr">
        <is>
          <t>PM（社員）</t>
        </is>
      </c>
      <c r="B37" s="5" t="inlineStr"/>
      <c r="C37" s="23">
        <f>ROUNDUP(C36/5,0)</f>
        <v/>
      </c>
      <c r="D37" s="23">
        <f>ROUNDUP(D36/5,0)</f>
        <v/>
      </c>
      <c r="E37" s="23">
        <f>ROUNDUP(E36/5,0)</f>
        <v/>
      </c>
      <c r="F37" s="23">
        <f>ROUNDUP(F36/5,0)</f>
        <v/>
      </c>
      <c r="G37" s="23">
        <f>ROUNDUP(G36/5,0)</f>
        <v/>
      </c>
      <c r="H37" s="7" t="inlineStr">
        <is>
          <t>1名で5名を見る。上の人件費表はここを参照</t>
        </is>
      </c>
    </row>
    <row r="38">
      <c r="A38" s="4" t="inlineStr">
        <is>
          <t>開発委託費（百万円）</t>
        </is>
      </c>
      <c r="B38" s="5" t="inlineStr"/>
      <c r="C38" s="6">
        <f>C36*$B$28/100</f>
        <v/>
      </c>
      <c r="D38" s="6">
        <f>D36*$B$28/100</f>
        <v/>
      </c>
      <c r="E38" s="6">
        <f>E36*$B$28/100</f>
        <v/>
      </c>
      <c r="F38" s="6">
        <f>F36*$B$28/100</f>
        <v/>
      </c>
      <c r="G38" s="6">
        <f>G36*$B$28/100</f>
        <v/>
      </c>
      <c r="H38" s="7" t="inlineStr">
        <is>
          <t>実人数 × 加重単価</t>
        </is>
      </c>
    </row>
    <row r="40">
      <c r="A40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1">
      <c r="A41" s="36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3">
      <c r="A43" s="12" t="inlineStr">
        <is>
          <t>社外の専門家を前提にするなら、その費用が見えている必要がある</t>
        </is>
      </c>
    </row>
    <row r="44">
      <c r="A44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5" ht="24" customHeight="1">
      <c r="A45" s="3" t="inlineStr">
        <is>
          <t>費目</t>
        </is>
      </c>
      <c r="B45" s="3" t="inlineStr">
        <is>
          <t>下限</t>
        </is>
      </c>
      <c r="C45" s="3" t="inlineStr">
        <is>
          <t>上限</t>
        </is>
      </c>
      <c r="D45" s="3" t="inlineStr"/>
      <c r="E45" s="3" t="inlineStr"/>
      <c r="F45" s="3" t="inlineStr"/>
      <c r="G45" s="3" t="inlineStr"/>
      <c r="H45" s="3" t="inlineStr">
        <is>
          <t>備考</t>
        </is>
      </c>
    </row>
    <row r="46">
      <c r="A46" s="5" t="inlineStr">
        <is>
          <t>監査報酬（上場後）</t>
        </is>
      </c>
      <c r="B46" s="18" t="n">
        <v>40</v>
      </c>
      <c r="C46" s="18" t="n">
        <v>70</v>
      </c>
      <c r="H46" s="7" t="inlineStr">
        <is>
          <t>上場会社・売上108億規模</t>
        </is>
      </c>
    </row>
    <row r="47">
      <c r="A47" s="5" t="inlineStr">
        <is>
          <t>株式事務代行・IR</t>
        </is>
      </c>
      <c r="B47" s="18" t="n">
        <v>20</v>
      </c>
      <c r="C47" s="18" t="n">
        <v>40</v>
      </c>
      <c r="H47" s="7" t="inlineStr">
        <is>
          <t>信託銀行・開示書類・説明会</t>
        </is>
      </c>
    </row>
    <row r="48">
      <c r="A48" s="5" t="inlineStr">
        <is>
          <t>顧問弁護士</t>
        </is>
      </c>
      <c r="B48" s="18" t="n">
        <v>12</v>
      </c>
      <c r="C48" s="18" t="n">
        <v>30</v>
      </c>
      <c r="H48" s="7" t="inlineStr">
        <is>
          <t>契約審査・中国パートナー・業務委託設計</t>
        </is>
      </c>
    </row>
    <row r="49">
      <c r="A49" s="5" t="inlineStr">
        <is>
          <t>税理士・社会保険労務士</t>
        </is>
      </c>
      <c r="B49" s="18" t="n">
        <v>6</v>
      </c>
      <c r="C49" s="18" t="n">
        <v>12</v>
      </c>
      <c r="H49" s="7" t="inlineStr"/>
    </row>
    <row r="50">
      <c r="A50" s="5" t="inlineStr">
        <is>
          <t>オフィス（社員22名）</t>
        </is>
      </c>
      <c r="B50" s="18" t="n">
        <v>30</v>
      </c>
      <c r="C50" s="18" t="n">
        <v>50</v>
      </c>
      <c r="H50" s="7" t="inlineStr"/>
    </row>
    <row r="51">
      <c r="A51" s="5" t="inlineStr">
        <is>
          <t>SaaS・通信・インフラ（非開発）</t>
        </is>
      </c>
      <c r="B51" s="18" t="n">
        <v>20</v>
      </c>
      <c r="C51" s="18" t="n">
        <v>40</v>
      </c>
      <c r="H51" s="7" t="inlineStr"/>
    </row>
    <row r="52">
      <c r="A52" s="5" t="inlineStr">
        <is>
          <t>採用・教育</t>
        </is>
      </c>
      <c r="B52" s="18" t="n">
        <v>30</v>
      </c>
      <c r="C52" s="18" t="n">
        <v>60</v>
      </c>
      <c r="H52" s="7" t="inlineStr">
        <is>
          <t>PM・統括級の採用は単価が高い</t>
        </is>
      </c>
    </row>
    <row r="53">
      <c r="A53" s="5" t="inlineStr">
        <is>
          <t>旅費交通</t>
        </is>
      </c>
      <c r="B53" s="18" t="n">
        <v>30</v>
      </c>
      <c r="C53" s="18" t="n">
        <v>60</v>
      </c>
      <c r="H53" s="7" t="inlineStr">
        <is>
          <t>ベトナム・インド往復</t>
        </is>
      </c>
    </row>
    <row r="54">
      <c r="A54" s="5" t="inlineStr">
        <is>
          <t>保険・その他</t>
        </is>
      </c>
      <c r="B54" s="18" t="n">
        <v>20</v>
      </c>
      <c r="C54" s="18" t="n">
        <v>40</v>
      </c>
      <c r="H54" s="7" t="inlineStr"/>
    </row>
    <row r="55">
      <c r="A55" s="4" t="inlineStr">
        <is>
          <t>合計（百万円）</t>
        </is>
      </c>
      <c r="B55" s="21">
        <f>SUM(B46:B54)</f>
        <v/>
      </c>
      <c r="C55" s="21">
        <f>SUM(C46:C54)</f>
        <v/>
      </c>
    </row>
    <row r="56">
      <c r="A56" s="4" t="inlineStr">
        <is>
          <t>その他販管費（5期・売上の4%）</t>
        </is>
      </c>
      <c r="C56" s="6">
        <f>'損益計算書'!G27</f>
        <v/>
      </c>
    </row>
    <row r="57">
      <c r="A57" s="4" t="inlineStr">
        <is>
          <t>判定</t>
        </is>
      </c>
      <c r="C57" s="34">
        <f>IF(C56&gt;=C55,"○ 上限まで賄える","× 足りない")</f>
        <v/>
      </c>
      <c r="H57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'人員と人件費'!C38</f>
        <v/>
      </c>
      <c r="D22" s="8">
        <f>'人員と人件費'!D38</f>
        <v/>
      </c>
      <c r="E22" s="8">
        <f>'人員と人件費'!E38</f>
        <v/>
      </c>
      <c r="F22" s="8">
        <f>'人員と人件費'!F38</f>
        <v/>
      </c>
      <c r="G22" s="8">
        <f>'人員と人件費'!G38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9">
        <f>IF(C12=0,0,C29/C12)</f>
        <v/>
      </c>
      <c r="D30" s="39">
        <f>IF(D12=0,0,D29/D12)</f>
        <v/>
      </c>
      <c r="E30" s="39">
        <f>IF(E12=0,0,E29/E12)</f>
        <v/>
      </c>
      <c r="F30" s="39">
        <f>IF(F12=0,0,F29/F12)</f>
        <v/>
      </c>
      <c r="G30" s="39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8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8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9">
        <f>D26</f>
        <v/>
      </c>
      <c r="C30" s="16" t="inlineStr">
        <is>
          <t>—</t>
        </is>
      </c>
      <c r="D30" s="17" t="inlineStr">
        <is>
          <t>× 除外</t>
        </is>
      </c>
      <c r="E30" s="39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9">
        <f>E26</f>
        <v/>
      </c>
      <c r="C31" s="16" t="inlineStr">
        <is>
          <t>—</t>
        </is>
      </c>
      <c r="D31" s="17" t="inlineStr">
        <is>
          <t>× 除外</t>
        </is>
      </c>
      <c r="E31" s="39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9">
        <f>F26</f>
        <v/>
      </c>
      <c r="C32" s="16">
        <f>IF(B32&lt;0.1,"10%未満","10%以上")</f>
        <v/>
      </c>
      <c r="D32" s="16">
        <f>IF(B32&lt;0.1,"○ 算入","× 除外")</f>
        <v/>
      </c>
      <c r="E32" s="39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9">
        <f>G26</f>
        <v/>
      </c>
      <c r="C33" s="16">
        <f>IF(B33&lt;0.1,"10%未満","10%以上")</f>
        <v/>
      </c>
      <c r="D33" s="16">
        <f>IF(B33&lt;0.1,"○ 算入","× 除外")</f>
        <v/>
      </c>
      <c r="E33" s="39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9">
        <f>H26</f>
        <v/>
      </c>
      <c r="C34" s="16" t="inlineStr">
        <is>
          <t>—</t>
        </is>
      </c>
      <c r="D34" s="16" t="inlineStr">
        <is>
          <t>○ 算入</t>
        </is>
      </c>
      <c r="E34" s="39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8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8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2026-09-23T09:36:13Z</dcterms:created>
  <dcterms:modified xmlns:dcterms="http://purl.org/dc/terms/" xmlns:xsi="http://www.w3.org/2001/XMLSchema-instance" xsi:type="dcterms:W3CDTF">2026-09-23T09:36:13Z</dcterms:modified>
</cp:coreProperties>
</file>