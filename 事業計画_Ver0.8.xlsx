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③をToC上限・ToB中点に／②に解約率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ToC＝上限／ToB＝中点。GMVは約64%に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★法人5%・個人30%の年次解約率を新設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③は成約が価格帯のどこに落ちるかで3倍動く。いまは中点（均等）を採用している。</t>
        </is>
      </c>
    </row>
    <row r="51">
      <c r="A51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'商品マスタ③'!$K$23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3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0.05</v>
      </c>
      <c r="E20" s="23" t="n">
        <v>0.05</v>
      </c>
      <c r="F20" s="23" t="n">
        <v>0.05</v>
      </c>
      <c r="G20" s="23" t="n">
        <v>0.05</v>
      </c>
      <c r="J20" s="7" t="inlineStr">
        <is>
          <t>★年5%（松田さん指示）。B2B SaaSの一般水準（5〜15%）の下限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0.3</v>
      </c>
      <c r="E28" s="23" t="n">
        <v>0.3</v>
      </c>
      <c r="F28" s="23" t="n">
        <v>0.3</v>
      </c>
      <c r="G28" s="23" t="n">
        <v>0.3</v>
      </c>
      <c r="J28" s="7" t="inlineStr">
        <is>
          <t>★年30%（松田さん指示）。個人向けSaaSの一般水準（月3〜5%＝年30〜45%）の下限側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解約」の純増になる。5期に法人600社を維持するには、累計600社ではなく解約分を上乗せして獲得し続ける必要がある。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2" customWidth="1" min="11" max="11"/>
    <col width="13" customWidth="1" min="12" max="12"/>
    <col width="32" customWidth="1" min="13" max="13"/>
  </cols>
  <sheetData>
    <row r="1">
      <c r="A1" s="1" t="inlineStr">
        <is>
          <t>③ 越境C2C — 商品別</t>
        </is>
      </c>
    </row>
    <row r="2">
      <c r="A2" s="2" t="inlineStr">
        <is>
          <t>ToC（個人向け）は上限＝定価で成約。ToB（中小企業・企業オーダー）は交渉が入るので中点で成約。下限はクリエイターの留保価格で、下回ると供給が付かないという床。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区分</t>
        </is>
      </c>
      <c r="D3" s="3" t="inlineStr">
        <is>
          <t>参考 軽い場合</t>
        </is>
      </c>
      <c r="E3" s="3" t="inlineStr">
        <is>
          <t>標準工数</t>
        </is>
      </c>
      <c r="F3" s="3" t="inlineStr">
        <is>
          <t>下限（供給）</t>
        </is>
      </c>
      <c r="G3" s="3" t="inlineStr">
        <is>
          <t>上限（需要）</t>
        </is>
      </c>
      <c r="H3" s="3" t="inlineStr">
        <is>
          <t>中点</t>
        </is>
      </c>
      <c r="I3" s="3" t="inlineStr">
        <is>
          <t>採用価格</t>
        </is>
      </c>
      <c r="J3" s="3" t="inlineStr">
        <is>
          <t>5期件数</t>
        </is>
      </c>
      <c r="K3" s="3" t="inlineStr">
        <is>
          <t>年間工数</t>
        </is>
      </c>
      <c r="L3" s="3" t="inlineStr">
        <is>
          <t>5期GMV(百万)</t>
        </is>
      </c>
      <c r="M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41" t="inlineStr">
        <is>
          <t>ToC</t>
        </is>
      </c>
      <c r="D5" s="29" t="n">
        <v>0.5</v>
      </c>
      <c r="E5" s="29" t="n">
        <v>1.5</v>
      </c>
      <c r="F5" s="27">
        <f>ROUNDUP('クリエイター経済'!$B$10*E5/(1-$B$28)/500,0)*500</f>
        <v/>
      </c>
      <c r="G5" s="22" t="n">
        <v>10000</v>
      </c>
      <c r="H5" s="13">
        <f>(F5+G5)/2</f>
        <v/>
      </c>
      <c r="I5" s="6">
        <f>IF($C5="ToC",G5,H5)</f>
        <v/>
      </c>
      <c r="J5" s="22" t="n">
        <v>25000</v>
      </c>
      <c r="K5" s="8">
        <f>E5*J5</f>
        <v/>
      </c>
      <c r="L5" s="33">
        <f>I5*J5/1000000</f>
        <v/>
      </c>
      <c r="M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41" t="inlineStr">
        <is>
          <t>ToC</t>
        </is>
      </c>
      <c r="D6" s="29" t="n">
        <v>1</v>
      </c>
      <c r="E6" s="29" t="n">
        <v>2.5</v>
      </c>
      <c r="F6" s="27">
        <f>ROUNDUP('クリエイター経済'!$B$10*E6/(1-$B$28)/500,0)*500</f>
        <v/>
      </c>
      <c r="G6" s="22" t="n">
        <v>15000</v>
      </c>
      <c r="H6" s="13">
        <f>(F6+G6)/2</f>
        <v/>
      </c>
      <c r="I6" s="6">
        <f>IF($C6="ToC",G6,H6)</f>
        <v/>
      </c>
      <c r="J6" s="22" t="n">
        <v>12000</v>
      </c>
      <c r="K6" s="8">
        <f>E6*J6</f>
        <v/>
      </c>
      <c r="L6" s="33">
        <f>I6*J6/1000000</f>
        <v/>
      </c>
      <c r="M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41" t="inlineStr">
        <is>
          <t>ToC</t>
        </is>
      </c>
      <c r="D7" s="29" t="n">
        <v>1</v>
      </c>
      <c r="E7" s="29" t="n">
        <v>3</v>
      </c>
      <c r="F7" s="27">
        <f>ROUNDUP('クリエイター経済'!$B$10*E7/(1-$B$28)/500,0)*500</f>
        <v/>
      </c>
      <c r="G7" s="22" t="n">
        <v>18000</v>
      </c>
      <c r="H7" s="13">
        <f>(F7+G7)/2</f>
        <v/>
      </c>
      <c r="I7" s="6">
        <f>IF($C7="ToC",G7,H7)</f>
        <v/>
      </c>
      <c r="J7" s="22" t="n">
        <v>8000</v>
      </c>
      <c r="K7" s="8">
        <f>E7*J7</f>
        <v/>
      </c>
      <c r="L7" s="33">
        <f>I7*J7/1000000</f>
        <v/>
      </c>
      <c r="M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41" t="inlineStr">
        <is>
          <t>ToC</t>
        </is>
      </c>
      <c r="D8" s="29" t="n">
        <v>2</v>
      </c>
      <c r="E8" s="29" t="n">
        <v>5</v>
      </c>
      <c r="F8" s="27">
        <f>ROUNDUP('クリエイター経済'!$B$10*E8/(1-$B$28)/500,0)*500</f>
        <v/>
      </c>
      <c r="G8" s="22" t="n">
        <v>30000</v>
      </c>
      <c r="H8" s="13">
        <f>(F8+G8)/2</f>
        <v/>
      </c>
      <c r="I8" s="6">
        <f>IF($C8="ToC",G8,H8)</f>
        <v/>
      </c>
      <c r="J8" s="22" t="n">
        <v>10000</v>
      </c>
      <c r="K8" s="8">
        <f>E8*J8</f>
        <v/>
      </c>
      <c r="L8" s="33">
        <f>I8*J8/1000000</f>
        <v/>
      </c>
      <c r="M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41" t="inlineStr">
        <is>
          <t>ToC</t>
        </is>
      </c>
      <c r="D9" s="29" t="n">
        <v>3</v>
      </c>
      <c r="E9" s="29" t="n">
        <v>8</v>
      </c>
      <c r="F9" s="27">
        <f>ROUNDUP('クリエイター経済'!$B$10*E9/(1-$B$28)/500,0)*500</f>
        <v/>
      </c>
      <c r="G9" s="22" t="n">
        <v>50000</v>
      </c>
      <c r="H9" s="13">
        <f>(F9+G9)/2</f>
        <v/>
      </c>
      <c r="I9" s="6">
        <f>IF($C9="ToC",G9,H9)</f>
        <v/>
      </c>
      <c r="J9" s="22" t="n">
        <v>6000</v>
      </c>
      <c r="K9" s="8">
        <f>E9*J9</f>
        <v/>
      </c>
      <c r="L9" s="33">
        <f>I9*J9/1000000</f>
        <v/>
      </c>
      <c r="M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41" t="inlineStr">
        <is>
          <t>ToC</t>
        </is>
      </c>
      <c r="D10" s="29" t="n">
        <v>5</v>
      </c>
      <c r="E10" s="29" t="n">
        <v>15</v>
      </c>
      <c r="F10" s="27">
        <f>ROUNDUP('クリエイター経済'!$B$10*E10/(1-$B$28)/500,0)*500</f>
        <v/>
      </c>
      <c r="G10" s="22" t="n">
        <v>80000</v>
      </c>
      <c r="H10" s="13">
        <f>(F10+G10)/2</f>
        <v/>
      </c>
      <c r="I10" s="6">
        <f>IF($C10="ToC",G10,H10)</f>
        <v/>
      </c>
      <c r="J10" s="22" t="n">
        <v>9000</v>
      </c>
      <c r="K10" s="8">
        <f>E10*J10</f>
        <v/>
      </c>
      <c r="L10" s="33">
        <f>I10*J10/1000000</f>
        <v/>
      </c>
      <c r="M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42" t="inlineStr">
        <is>
          <t>ToB</t>
        </is>
      </c>
      <c r="D11" s="29" t="n">
        <v>6</v>
      </c>
      <c r="E11" s="29" t="n">
        <v>12</v>
      </c>
      <c r="F11" s="27">
        <f>ROUNDUP('クリエイター経済'!$B$10*E11/(1-$B$28)/500,0)*500</f>
        <v/>
      </c>
      <c r="G11" s="22" t="n">
        <v>120000</v>
      </c>
      <c r="H11" s="13">
        <f>(F11+G11)/2</f>
        <v/>
      </c>
      <c r="I11" s="6">
        <f>IF($C11="ToC",G11,H11)</f>
        <v/>
      </c>
      <c r="J11" s="22" t="n">
        <v>4000</v>
      </c>
      <c r="K11" s="8">
        <f>E11*J11</f>
        <v/>
      </c>
      <c r="L11" s="33">
        <f>I11*J11/1000000</f>
        <v/>
      </c>
      <c r="M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42" t="inlineStr">
        <is>
          <t>ToB</t>
        </is>
      </c>
      <c r="D12" s="29" t="n">
        <v>8</v>
      </c>
      <c r="E12" s="29" t="n">
        <v>16</v>
      </c>
      <c r="F12" s="27">
        <f>ROUNDUP('クリエイター経済'!$B$10*E12/(1-$B$28)/500,0)*500</f>
        <v/>
      </c>
      <c r="G12" s="22" t="n">
        <v>180000</v>
      </c>
      <c r="H12" s="13">
        <f>(F12+G12)/2</f>
        <v/>
      </c>
      <c r="I12" s="6">
        <f>IF($C12="ToC",G12,H12)</f>
        <v/>
      </c>
      <c r="J12" s="22" t="n">
        <v>2500</v>
      </c>
      <c r="K12" s="8">
        <f>E12*J12</f>
        <v/>
      </c>
      <c r="L12" s="33">
        <f>I12*J12/1000000</f>
        <v/>
      </c>
      <c r="M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42" t="inlineStr">
        <is>
          <t>ToB</t>
        </is>
      </c>
      <c r="D13" s="29" t="n">
        <v>6</v>
      </c>
      <c r="E13" s="29" t="n">
        <v>14</v>
      </c>
      <c r="F13" s="27">
        <f>ROUNDUP('クリエイター経済'!$B$10*E13/(1-$B$28)/500,0)*500</f>
        <v/>
      </c>
      <c r="G13" s="22" t="n">
        <v>150000</v>
      </c>
      <c r="H13" s="13">
        <f>(F13+G13)/2</f>
        <v/>
      </c>
      <c r="I13" s="6">
        <f>IF($C13="ToC",G13,H13)</f>
        <v/>
      </c>
      <c r="J13" s="22" t="n">
        <v>5000</v>
      </c>
      <c r="K13" s="8">
        <f>E13*J13</f>
        <v/>
      </c>
      <c r="L13" s="33">
        <f>I13*J13/1000000</f>
        <v/>
      </c>
      <c r="M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42" t="inlineStr">
        <is>
          <t>ToB</t>
        </is>
      </c>
      <c r="D14" s="29" t="n">
        <v>5</v>
      </c>
      <c r="E14" s="29" t="n">
        <v>10</v>
      </c>
      <c r="F14" s="27">
        <f>ROUNDUP('クリエイター経済'!$B$10*E14/(1-$B$28)/500,0)*500</f>
        <v/>
      </c>
      <c r="G14" s="22" t="n">
        <v>100000</v>
      </c>
      <c r="H14" s="13">
        <f>(F14+G14)/2</f>
        <v/>
      </c>
      <c r="I14" s="6">
        <f>IF($C14="ToC",G14,H14)</f>
        <v/>
      </c>
      <c r="J14" s="22" t="n">
        <v>3500</v>
      </c>
      <c r="K14" s="8">
        <f>E14*J14</f>
        <v/>
      </c>
      <c r="L14" s="33">
        <f>I14*J14/1000000</f>
        <v/>
      </c>
      <c r="M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42" t="inlineStr">
        <is>
          <t>ToB</t>
        </is>
      </c>
      <c r="D15" s="29" t="n">
        <v>4</v>
      </c>
      <c r="E15" s="29" t="n">
        <v>9</v>
      </c>
      <c r="F15" s="27">
        <f>ROUNDUP('クリエイター経済'!$B$10*E15/(1-$B$28)/500,0)*500</f>
        <v/>
      </c>
      <c r="G15" s="22" t="n">
        <v>80000</v>
      </c>
      <c r="H15" s="13">
        <f>(F15+G15)/2</f>
        <v/>
      </c>
      <c r="I15" s="6">
        <f>IF($C15="ToC",G15,H15)</f>
        <v/>
      </c>
      <c r="J15" s="22" t="n">
        <v>2000</v>
      </c>
      <c r="K15" s="8">
        <f>E15*J15</f>
        <v/>
      </c>
      <c r="L15" s="33">
        <f>I15*J15/1000000</f>
        <v/>
      </c>
      <c r="M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42" t="inlineStr">
        <is>
          <t>ToB</t>
        </is>
      </c>
      <c r="D16" s="29" t="n">
        <v>6</v>
      </c>
      <c r="E16" s="29" t="n">
        <v>12</v>
      </c>
      <c r="F16" s="27">
        <f>ROUNDUP('クリエイター経済'!$B$10*E16/(1-$B$28)/500,0)*500</f>
        <v/>
      </c>
      <c r="G16" s="22" t="n">
        <v>120000</v>
      </c>
      <c r="H16" s="13">
        <f>(F16+G16)/2</f>
        <v/>
      </c>
      <c r="I16" s="6">
        <f>IF($C16="ToC",G16,H16)</f>
        <v/>
      </c>
      <c r="J16" s="22" t="n">
        <v>6000</v>
      </c>
      <c r="K16" s="8">
        <f>E16*J16</f>
        <v/>
      </c>
      <c r="L16" s="33">
        <f>I16*J16/1000000</f>
        <v/>
      </c>
      <c r="M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41" t="inlineStr">
        <is>
          <t>ToC</t>
        </is>
      </c>
      <c r="D17" s="29" t="n">
        <v>3</v>
      </c>
      <c r="E17" s="29" t="n">
        <v>10</v>
      </c>
      <c r="F17" s="27">
        <f>ROUNDUP('クリエイター経済'!$B$10*E17/(1-$B$28)/500,0)*500</f>
        <v/>
      </c>
      <c r="G17" s="22" t="n">
        <v>150000</v>
      </c>
      <c r="H17" s="13">
        <f>(F17+G17)/2</f>
        <v/>
      </c>
      <c r="I17" s="6">
        <f>IF($C17="ToC",G17,H17)</f>
        <v/>
      </c>
      <c r="J17" s="22" t="n">
        <v>5900</v>
      </c>
      <c r="K17" s="8">
        <f>E17*J17</f>
        <v/>
      </c>
      <c r="L17" s="33">
        <f>I17*J17/1000000</f>
        <v/>
      </c>
      <c r="M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42" t="inlineStr">
        <is>
          <t>ToB</t>
        </is>
      </c>
      <c r="D18" s="29" t="n">
        <v>10</v>
      </c>
      <c r="E18" s="29" t="n">
        <v>50</v>
      </c>
      <c r="F18" s="27">
        <f>ROUNDUP('クリエイター経済'!$B$10*E18/(1-$B$28)/500,0)*500</f>
        <v/>
      </c>
      <c r="G18" s="22" t="n">
        <v>1000000</v>
      </c>
      <c r="H18" s="13">
        <f>(F18+G18)/2</f>
        <v/>
      </c>
      <c r="I18" s="6">
        <f>IF($C18="ToC",G18,H18)</f>
        <v/>
      </c>
      <c r="J18" s="22" t="n">
        <v>8900</v>
      </c>
      <c r="K18" s="8">
        <f>E18*J18</f>
        <v/>
      </c>
      <c r="L18" s="33">
        <f>I18*J18/1000000</f>
        <v/>
      </c>
      <c r="M18" s="7" t="inlineStr">
        <is>
          <t>上限100万。交渉が入る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J20" s="25">
        <f>SUMIF($B$5:$B$18,"A",J$5:J$18)</f>
        <v/>
      </c>
      <c r="K20" s="25">
        <f>SUMIF($B$5:$B$18,"A",K$5:K$18)</f>
        <v/>
      </c>
      <c r="L20" s="32">
        <f>SUMIF($B$5:$B$18,"A",L$5:L$18)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J21" s="25">
        <f>SUMIF($B$5:$B$18,"B",J$5:J$18)</f>
        <v/>
      </c>
      <c r="K21" s="25">
        <f>SUMIF($B$5:$B$18,"B",K$5:K$18)</f>
        <v/>
      </c>
      <c r="L21" s="32">
        <f>SUMIF($B$5:$B$18,"B",L$5:L$18)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J22" s="25">
        <f>SUMIF($B$5:$B$18,"C",J$5:J$18)</f>
        <v/>
      </c>
      <c r="K22" s="25">
        <f>SUMIF($B$5:$B$18,"C",K$5:K$18)</f>
        <v/>
      </c>
      <c r="L22" s="32">
        <f>SUMIF($B$5:$B$18,"C",L$5:L$18)</f>
        <v/>
      </c>
    </row>
    <row r="23">
      <c r="A23" s="4" t="inlineStr">
        <is>
          <t>合計（②-Cの共食い前）</t>
        </is>
      </c>
      <c r="J23" s="6">
        <f>SUM(J20:J22)</f>
        <v/>
      </c>
      <c r="K23" s="6">
        <f>SUM(K20:K22)</f>
        <v/>
      </c>
      <c r="L23" s="35">
        <f>SUM(L20:L22)</f>
        <v/>
      </c>
    </row>
    <row r="24">
      <c r="A24" s="5" t="inlineStr">
        <is>
          <t xml:space="preserve">　− ②-Cセルフサーブによる共食い（③-A）</t>
        </is>
      </c>
      <c r="L24" s="43">
        <f>-L20*G35</f>
        <v/>
      </c>
      <c r="M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L25" s="35">
        <f>L23+L24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4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4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4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$L$20*C32*(1-C35)</f>
        <v/>
      </c>
      <c r="D36" s="27">
        <f>$L$20*D32*(1-D35)</f>
        <v/>
      </c>
      <c r="E36" s="27">
        <f>$L$20*E32*(1-E35)</f>
        <v/>
      </c>
      <c r="F36" s="27">
        <f>$L$20*F32*(1-F35)</f>
        <v/>
      </c>
      <c r="G36" s="27">
        <f>$L$20*G32*(1-G35)</f>
        <v/>
      </c>
    </row>
    <row r="37">
      <c r="A37" s="5" t="inlineStr">
        <is>
          <t>③-B GMV（百万円）</t>
        </is>
      </c>
      <c r="B37" s="5" t="inlineStr"/>
      <c r="C37" s="27">
        <f>$L$21*C33</f>
        <v/>
      </c>
      <c r="D37" s="27">
        <f>$L$21*D33</f>
        <v/>
      </c>
      <c r="E37" s="27">
        <f>$L$21*E33</f>
        <v/>
      </c>
      <c r="F37" s="27">
        <f>$L$21*F33</f>
        <v/>
      </c>
      <c r="G37" s="27">
        <f>$L$21*G33</f>
        <v/>
      </c>
    </row>
    <row r="38">
      <c r="A38" s="5" t="inlineStr">
        <is>
          <t>③-C GMV（百万円）</t>
        </is>
      </c>
      <c r="B38" s="5" t="inlineStr"/>
      <c r="C38" s="27">
        <f>$L$22*C34</f>
        <v/>
      </c>
      <c r="D38" s="27">
        <f>$L$22*D34</f>
        <v/>
      </c>
      <c r="E38" s="27">
        <f>$L$22*E34</f>
        <v/>
      </c>
      <c r="F38" s="27">
        <f>$L$22*F34</f>
        <v/>
      </c>
      <c r="G38" s="27">
        <f>$L$22*G34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$J$20*C32*(1-C35)+$J$21*C33+$J$22*C34</f>
        <v/>
      </c>
      <c r="D40" s="27">
        <f>$J$20*D32*(1-D35)+$J$21*D33+$J$22*D34</f>
        <v/>
      </c>
      <c r="E40" s="27">
        <f>$J$20*E32*(1-E35)+$J$21*E33+$J$22*E34</f>
        <v/>
      </c>
      <c r="F40" s="27">
        <f>$J$20*F32*(1-F35)+$J$21*F33+$J$22*F34</f>
        <v/>
      </c>
      <c r="G40" s="27">
        <f>$J$20*G32*(1-G35)+$J$21*G33+$J$22*G34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$K$20*C32*(1-C35)+$K$21*C33+$K$22*C34</f>
        <v/>
      </c>
      <c r="D44" s="27">
        <f>$K$20*D32*(1-D35)+$K$21*D33+$K$22*D34</f>
        <v/>
      </c>
      <c r="E44" s="27">
        <f>$K$20*E32*(1-E35)+$K$21*E33+$K$22*E34</f>
        <v/>
      </c>
      <c r="F44" s="27">
        <f>$K$20*F32*(1-F35)+$K$21*F33+$K$22*F34</f>
        <v/>
      </c>
      <c r="G44" s="27">
        <f>$K$20*G32*(1-G35)+$K$21*G33+$K$22*G34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0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5" t="n">
        <v>30</v>
      </c>
      <c r="D18" s="45" t="n">
        <v>120</v>
      </c>
      <c r="E18" s="45" t="n">
        <v>500</v>
      </c>
      <c r="F18" s="45" t="n">
        <v>1200</v>
      </c>
      <c r="G18" s="45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6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7">
        <f>SUM(C21:C32)</f>
        <v/>
      </c>
      <c r="D33" s="47">
        <f>SUM(D21:D32)</f>
        <v/>
      </c>
      <c r="E33" s="47">
        <f>SUM(E21:E32)</f>
        <v/>
      </c>
      <c r="F33" s="47">
        <f>SUM(F21:F32)</f>
        <v/>
      </c>
      <c r="G33" s="47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8">
        <f>IF(C12=0,0,C34/C12)</f>
        <v/>
      </c>
      <c r="D35" s="48">
        <f>IF(D12=0,0,D34/D12)</f>
        <v/>
      </c>
      <c r="E35" s="48">
        <f>IF(E12=0,0,E34/E12)</f>
        <v/>
      </c>
      <c r="F35" s="48">
        <f>IF(F12=0,0,F34/F12)</f>
        <v/>
      </c>
      <c r="G35" s="48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7">
        <f>'損益計算書'!C34</f>
        <v/>
      </c>
      <c r="D4" s="47">
        <f>'損益計算書'!D34</f>
        <v/>
      </c>
      <c r="E4" s="47">
        <f>'損益計算書'!E34</f>
        <v/>
      </c>
      <c r="F4" s="47">
        <f>'損益計算書'!F34</f>
        <v/>
      </c>
      <c r="G4" s="47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7">
        <f>C9+C10</f>
        <v/>
      </c>
      <c r="D11" s="47">
        <f>D9+D10</f>
        <v/>
      </c>
      <c r="E11" s="47">
        <f>E9+E10</f>
        <v/>
      </c>
      <c r="F11" s="47">
        <f>F9+F10</f>
        <v/>
      </c>
      <c r="G11" s="4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7">
        <f>C16+C17+C18</f>
        <v/>
      </c>
      <c r="D19" s="47">
        <f>D16+D17+D18</f>
        <v/>
      </c>
      <c r="E19" s="47">
        <f>E16+E17+E18</f>
        <v/>
      </c>
      <c r="F19" s="47">
        <f>F16+F17+F18</f>
        <v/>
      </c>
      <c r="G19" s="47">
        <f>G16+G17+G18</f>
        <v/>
      </c>
    </row>
    <row r="21">
      <c r="A21" s="4" t="inlineStr">
        <is>
          <t>当期キャッシュ増減</t>
        </is>
      </c>
      <c r="B21" s="5" t="inlineStr"/>
      <c r="C21" s="47">
        <f>C14+C15+C19</f>
        <v/>
      </c>
      <c r="D21" s="47">
        <f>D14+D15+D19</f>
        <v/>
      </c>
      <c r="E21" s="47">
        <f>E14+E15+E19</f>
        <v/>
      </c>
      <c r="F21" s="47">
        <f>F14+F15+F19</f>
        <v/>
      </c>
      <c r="G21" s="4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6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6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9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9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9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9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9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9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9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8">
        <f>D26</f>
        <v/>
      </c>
      <c r="C30" s="20" t="inlineStr">
        <is>
          <t>—</t>
        </is>
      </c>
      <c r="D30" s="21" t="inlineStr">
        <is>
          <t>× 除外</t>
        </is>
      </c>
      <c r="E30" s="4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8">
        <f>E26</f>
        <v/>
      </c>
      <c r="C31" s="20" t="inlineStr">
        <is>
          <t>—</t>
        </is>
      </c>
      <c r="D31" s="21" t="inlineStr">
        <is>
          <t>× 除外</t>
        </is>
      </c>
      <c r="E31" s="4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8">
        <f>F26</f>
        <v/>
      </c>
      <c r="C32" s="20">
        <f>IF(B32&lt;0.1,"10%未満","10%以上")</f>
        <v/>
      </c>
      <c r="D32" s="20">
        <f>IF(B32&lt;0.1,"○ 算入","× 除外")</f>
        <v/>
      </c>
      <c r="E32" s="4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8">
        <f>G26</f>
        <v/>
      </c>
      <c r="C33" s="20">
        <f>IF(B33&lt;0.1,"10%未満","10%以上")</f>
        <v/>
      </c>
      <c r="D33" s="20">
        <f>IF(B33&lt;0.1,"○ 算入","× 除外")</f>
        <v/>
      </c>
      <c r="E33" s="4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8">
        <f>H26</f>
        <v/>
      </c>
      <c r="C34" s="20" t="inlineStr">
        <is>
          <t>—</t>
        </is>
      </c>
      <c r="D34" s="20" t="inlineStr">
        <is>
          <t>○ 算入</t>
        </is>
      </c>
      <c r="E34" s="4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50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6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1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6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2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2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2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2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2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3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4" t="inlineStr">
        <is>
          <t>── 実測 ──</t>
        </is>
      </c>
      <c r="B4" s="49" t="inlineStr"/>
      <c r="C4" s="20" t="inlineStr"/>
      <c r="D4" s="7" t="inlineStr"/>
    </row>
    <row r="5">
      <c r="A5" s="5" t="inlineStr">
        <is>
          <t>国内 映像制作市場</t>
        </is>
      </c>
      <c r="B5" s="49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9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9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9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9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9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9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9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9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9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4" t="inlineStr">
        <is>
          <t>── 確認できなかった ──</t>
        </is>
      </c>
      <c r="B15" s="49" t="inlineStr"/>
      <c r="C15" s="20" t="inlineStr"/>
      <c r="D15" s="7" t="inlineStr"/>
    </row>
    <row r="16">
      <c r="A16" s="5" t="inlineStr">
        <is>
          <t>スキルシェア市場の映像比率</t>
        </is>
      </c>
      <c r="B16" s="49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4" t="inlineStr">
        <is>
          <t>── 松田さんの決定 ──</t>
        </is>
      </c>
      <c r="B17" s="49" t="inlineStr"/>
      <c r="C17" s="20" t="inlineStr"/>
      <c r="D17" s="7" t="inlineStr"/>
    </row>
    <row r="18">
      <c r="A18" s="5" t="inlineStr">
        <is>
          <t>③ 手数料率</t>
        </is>
      </c>
      <c r="B18" s="49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9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9" t="inlineStr">
        <is>
          <t>均等（価格帯の中点）</t>
        </is>
      </c>
      <c r="C20" s="20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9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9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4" t="inlineStr">
        <is>
          <t>── ★私が置いた値 ──</t>
        </is>
      </c>
      <c r="B23" s="49" t="inlineStr"/>
      <c r="C23" s="20" t="inlineStr"/>
      <c r="D23" s="7" t="inlineStr"/>
    </row>
    <row r="24">
      <c r="A24" s="5" t="inlineStr">
        <is>
          <t>AX倍率</t>
        </is>
      </c>
      <c r="B24" s="49" t="inlineStr">
        <is>
          <t>1.0 → 4.0倍</t>
        </is>
      </c>
      <c r="C24" s="21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9" t="inlineStr">
        <is>
          <t>一律50%</t>
        </is>
      </c>
      <c r="C25" s="21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9" t="inlineStr">
        <is>
          <t>3.0 / 1.8 / 1.0 / 0.8</t>
        </is>
      </c>
      <c r="C26" s="21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9" t="inlineStr">
        <is>
          <t>年を追って上位帯へシフト</t>
        </is>
      </c>
      <c r="C27" s="21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9" t="inlineStr">
        <is>
          <t>40社／年6本</t>
        </is>
      </c>
      <c r="C28" s="21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9" t="inlineStr">
        <is>
          <t>商品マスタ② 参照</t>
        </is>
      </c>
      <c r="C29" s="21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9" t="inlineStr">
        <is>
          <t>商品マスタ③ 参照</t>
        </is>
      </c>
      <c r="C30" s="21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9" t="inlineStr">
        <is>
          <t>尺・保管期間・トークン数</t>
        </is>
      </c>
      <c r="C31" s="21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9" t="inlineStr">
        <is>
          <t>資本構成の推移 参照</t>
        </is>
      </c>
      <c r="C32" s="21" t="inlineStr">
        <is>
          <t>★</t>
        </is>
      </c>
      <c r="D32" s="7" t="inlineStr">
        <is>
          <t>シリーズA post 15億は未交渉</t>
        </is>
      </c>
    </row>
    <row r="33">
      <c r="A33" s="54" t="inlineStr">
        <is>
          <t>── 未確定 ──</t>
        </is>
      </c>
      <c r="B33" s="49" t="inlineStr"/>
      <c r="C33" s="20" t="inlineStr"/>
      <c r="D33" s="7" t="inlineStr"/>
    </row>
    <row r="34">
      <c r="A34" s="5" t="inlineStr">
        <is>
          <t>中国の映像制作パートナー</t>
        </is>
      </c>
      <c r="B34" s="49" t="inlineStr">
        <is>
          <t>社名 ［記入予定］</t>
        </is>
      </c>
      <c r="C34" s="21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9" t="inlineStr">
        <is>
          <t>30%側か70%側か</t>
        </is>
      </c>
      <c r="C35" s="21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9" t="inlineStr">
        <is>
          <t>─</t>
        </is>
      </c>
      <c r="C36" s="21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5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5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5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5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5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6" t="inlineStr">
        <is>
          <t>0.4</t>
        </is>
      </c>
      <c r="B4" s="57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7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6" t="inlineStr">
        <is>
          <t>0.5</t>
        </is>
      </c>
      <c r="B6" s="57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7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7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7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6" t="inlineStr">
        <is>
          <t>0.6</t>
        </is>
      </c>
      <c r="B10" s="57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7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7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7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7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7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7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7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7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7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6" t="inlineStr">
        <is>
          <t>0.7</t>
        </is>
      </c>
      <c r="B20" s="57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7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6" t="inlineStr">
        <is>
          <t>0.8</t>
        </is>
      </c>
      <c r="B22" s="57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7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7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7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7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7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6" t="inlineStr">
        <is>
          <t>0.8 数値改訂</t>
        </is>
      </c>
      <c r="B28" s="57" t="inlineStr">
        <is>
          <t>2026-09-23</t>
        </is>
      </c>
      <c r="C28" s="5" t="inlineStr">
        <is>
          <t>③ 価格を ToC＝上限／ToB＝中点 に分ける</t>
        </is>
      </c>
      <c r="D28" s="7" t="inlineStr">
        <is>
          <t>ToC（個人向け6商品＋個人オーダー）は定価で交渉が入らない。ToB（中小企業6商品＋企業オーダー）は相見積もりと交渉が入るので上限に張り付かない。5期GMV 142.5億→91.8億</t>
        </is>
      </c>
    </row>
    <row r="29">
      <c r="A29" s="20" t="inlineStr"/>
      <c r="B29" s="57" t="inlineStr"/>
      <c r="C29" s="5" t="inlineStr">
        <is>
          <t>② に解約率を新設（★法人 年5%／個人 年30%）</t>
        </is>
      </c>
      <c r="D29" s="7" t="inlineStr">
        <is>
          <t>契約数は「新規獲得−解約」の純増に。法人600→578社、個人17,000→14,180人。②売上 41.6億→37.5億</t>
        </is>
      </c>
    </row>
    <row r="30">
      <c r="A30" s="20" t="inlineStr"/>
      <c r="B30" s="57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3,780→3,727本、売上 35.7→35.2億</t>
        </is>
      </c>
    </row>
    <row r="31">
      <c r="A31" s="20" t="inlineStr"/>
      <c r="B31" s="57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7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7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7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7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7" t="inlineStr"/>
      <c r="C36" s="5" t="inlineStr">
        <is>
          <t>為替感応度を追加（資金計画シート）</t>
        </is>
      </c>
      <c r="D36" s="7" t="inlineStr">
        <is>
          <t>外貨建て支払は5期10.3億。10%円安で1.0億の利益圧迫。ヘッジは外貨支払見込みの50%★を予約</t>
        </is>
      </c>
    </row>
    <row r="37">
      <c r="A37" s="20" t="inlineStr"/>
      <c r="B37" s="57" t="inlineStr"/>
      <c r="C37" s="5" t="inlineStr">
        <is>
          <t>再計算の結果</t>
        </is>
      </c>
      <c r="D37" s="7" t="inlineStr">
        <is>
          <t>5期 売上 120.0→100.2億、営業利益 45.4→29.5億（37.8%→29.4%）。黒字化は3期のまま。2期末キャッシュ198百万でシリーズA前の資金ショートなし</t>
        </is>
      </c>
    </row>
    <row r="39">
      <c r="A39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120.0億、社員は 61名 → 22名。数字が良くなった分だけ、前提の説明責任が重くなっている。</t>
        </is>
      </c>
    </row>
    <row r="40">
      <c r="A40" s="39" t="inlineStr">
        <is>
          <t>⚠ PPTX「投資家向け企画書 Ver1.4.pptx」はまだ旧番号のまま。改番するかは松田さんの指示待ち。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2026-09-23T13:32:00Z</dcterms:created>
  <dcterms:modified xmlns:dcterms="http://purl.org/dc/terms/" xmlns:xsi="http://www.w3.org/2001/XMLSchema-instance" xsi:type="dcterms:W3CDTF">2026-09-23T13:32:00Z</dcterms:modified>
</cp:coreProperties>
</file>