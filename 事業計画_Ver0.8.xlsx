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'損益計算書'!C30</f>
        <v/>
      </c>
      <c r="D9" s="6">
        <f>'損益計算書'!D30</f>
        <v/>
      </c>
      <c r="E9" s="6">
        <f>'損益計算書'!E30</f>
        <v/>
      </c>
      <c r="F9" s="6">
        <f>'損益計算書'!F30</f>
        <v/>
      </c>
      <c r="G9" s="6">
        <f>'損益計算書'!G30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'損益計算書'!C31</f>
        <v/>
      </c>
      <c r="D10" s="9">
        <f>'損益計算書'!D31</f>
        <v/>
      </c>
      <c r="E10" s="9">
        <f>'損益計算書'!E31</f>
        <v/>
      </c>
      <c r="F10" s="9">
        <f>'損益計算書'!F31</f>
        <v/>
      </c>
      <c r="G10" s="9">
        <f>'損益計算書'!G31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'損益計算書'!C34</f>
        <v/>
      </c>
      <c r="D13" s="8">
        <f>'損益計算書'!D34</f>
        <v/>
      </c>
      <c r="E13" s="8">
        <f>'損益計算書'!E34</f>
        <v/>
      </c>
      <c r="F13" s="8">
        <f>'損益計算書'!F34</f>
        <v/>
      </c>
      <c r="G13" s="8">
        <f>'損益計算書'!G34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'損益計算書'!C35</f>
        <v/>
      </c>
      <c r="D14" s="6">
        <f>'損益計算書'!D35</f>
        <v/>
      </c>
      <c r="E14" s="6">
        <f>'損益計算書'!E35</f>
        <v/>
      </c>
      <c r="F14" s="6">
        <f>'損益計算書'!F35</f>
        <v/>
      </c>
      <c r="G14" s="6">
        <f>'損益計算書'!G35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'損益計算書'!C38</f>
        <v/>
      </c>
      <c r="D15" s="9">
        <f>'損益計算書'!D38</f>
        <v/>
      </c>
      <c r="E15" s="9">
        <f>'損益計算書'!E38</f>
        <v/>
      </c>
      <c r="F15" s="9">
        <f>'損益計算書'!F38</f>
        <v/>
      </c>
      <c r="G15" s="9">
        <f>'損益計算書'!G38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'損益計算書'!C36</f>
        <v/>
      </c>
      <c r="D16" s="10">
        <f>'損益計算書'!D36</f>
        <v/>
      </c>
      <c r="E16" s="10">
        <f>'損益計算書'!E36</f>
        <v/>
      </c>
      <c r="F16" s="10">
        <f>'損益計算書'!F36</f>
        <v/>
      </c>
      <c r="G16" s="10">
        <f>'損益計算書'!G36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'損益計算書'!C39</f>
        <v/>
      </c>
      <c r="D18" s="8">
        <f>'損益計算書'!D39</f>
        <v/>
      </c>
      <c r="E18" s="8">
        <f>'損益計算書'!E39</f>
        <v/>
      </c>
      <c r="F18" s="8">
        <f>'損益計算書'!F39</f>
        <v/>
      </c>
      <c r="G18" s="8">
        <f>'損益計算書'!G39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18" t="n">
        <v>3</v>
      </c>
      <c r="D26" s="18" t="n">
        <v>0</v>
      </c>
      <c r="E26" s="18" t="n">
        <v>0</v>
      </c>
      <c r="F26" s="18" t="n">
        <v>0</v>
      </c>
      <c r="G26" s="18" t="n">
        <v>0</v>
      </c>
      <c r="H26" s="16" t="inlineStr">
        <is>
          <t>百万円</t>
        </is>
      </c>
      <c r="I26" s="16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19" t="n">
        <v>0</v>
      </c>
      <c r="D27" s="19" t="n">
        <v>0.005</v>
      </c>
      <c r="E27" s="19" t="n">
        <v>0.005</v>
      </c>
      <c r="F27" s="19" t="n">
        <v>0.005</v>
      </c>
      <c r="G27" s="19" t="n">
        <v>0.005</v>
      </c>
      <c r="H27" s="16" t="inlineStr">
        <is>
          <t>%</t>
        </is>
      </c>
      <c r="I27" s="16" t="inlineStr">
        <is>
          <t>★</t>
        </is>
      </c>
      <c r="J27" s="7" t="inlineStr">
        <is>
          <t>出願維持・年金・監視・権利処理。売上の0.5%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価格は上限を採用（松田さんの決定）。上限＝日本の発注者の支払意思。下限はクリエイターの留保価格で、下回ると供給が付かないという床。中点は参考。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上限＝採用価格</t>
        </is>
      </c>
      <c r="G3" s="3" t="inlineStr">
        <is>
          <t>参考 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ROUNDUP('クリエイター経済'!$B$10*D5/(1-$B$28)/500,0)*500</f>
        <v/>
      </c>
      <c r="F5" s="6" t="n">
        <v>10000</v>
      </c>
      <c r="G5" s="35">
        <f>(E5+F5)/2</f>
        <v/>
      </c>
      <c r="H5" s="18" t="n">
        <v>25000</v>
      </c>
      <c r="I5" s="8">
        <f>D5*H5</f>
        <v/>
      </c>
      <c r="J5" s="29">
        <f>F5*H5/1000000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ROUNDUP('クリエイター経済'!$B$10*D6/(1-$B$28)/500,0)*500</f>
        <v/>
      </c>
      <c r="F6" s="6" t="n">
        <v>15000</v>
      </c>
      <c r="G6" s="35">
        <f>(E6+F6)/2</f>
        <v/>
      </c>
      <c r="H6" s="18" t="n">
        <v>12000</v>
      </c>
      <c r="I6" s="8">
        <f>D6*H6</f>
        <v/>
      </c>
      <c r="J6" s="29">
        <f>F6*H6/1000000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ROUNDUP('クリエイター経済'!$B$10*D7/(1-$B$28)/500,0)*500</f>
        <v/>
      </c>
      <c r="F7" s="6" t="n">
        <v>18000</v>
      </c>
      <c r="G7" s="35">
        <f>(E7+F7)/2</f>
        <v/>
      </c>
      <c r="H7" s="18" t="n">
        <v>8000</v>
      </c>
      <c r="I7" s="8">
        <f>D7*H7</f>
        <v/>
      </c>
      <c r="J7" s="29">
        <f>F7*H7/1000000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ROUNDUP('クリエイター経済'!$B$10*D8/(1-$B$28)/500,0)*500</f>
        <v/>
      </c>
      <c r="F8" s="6" t="n">
        <v>30000</v>
      </c>
      <c r="G8" s="35">
        <f>(E8+F8)/2</f>
        <v/>
      </c>
      <c r="H8" s="18" t="n">
        <v>10000</v>
      </c>
      <c r="I8" s="8">
        <f>D8*H8</f>
        <v/>
      </c>
      <c r="J8" s="29">
        <f>F8*H8/1000000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ROUNDUP('クリエイター経済'!$B$10*D9/(1-$B$28)/500,0)*500</f>
        <v/>
      </c>
      <c r="F9" s="6" t="n">
        <v>50000</v>
      </c>
      <c r="G9" s="35">
        <f>(E9+F9)/2</f>
        <v/>
      </c>
      <c r="H9" s="18" t="n">
        <v>6000</v>
      </c>
      <c r="I9" s="8">
        <f>D9*H9</f>
        <v/>
      </c>
      <c r="J9" s="29">
        <f>F9*H9/1000000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ROUNDUP('クリエイター経済'!$B$10*D10/(1-$B$28)/500,0)*500</f>
        <v/>
      </c>
      <c r="F10" s="6" t="n">
        <v>80000</v>
      </c>
      <c r="G10" s="35">
        <f>(E10+F10)/2</f>
        <v/>
      </c>
      <c r="H10" s="18" t="n">
        <v>9000</v>
      </c>
      <c r="I10" s="8">
        <f>D10*H10</f>
        <v/>
      </c>
      <c r="J10" s="29">
        <f>F10*H10/1000000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ROUNDUP('クリエイター経済'!$B$10*D11/(1-$B$28)/500,0)*500</f>
        <v/>
      </c>
      <c r="F11" s="6" t="n">
        <v>120000</v>
      </c>
      <c r="G11" s="35">
        <f>(E11+F11)/2</f>
        <v/>
      </c>
      <c r="H11" s="18" t="n">
        <v>4000</v>
      </c>
      <c r="I11" s="8">
        <f>D11*H11</f>
        <v/>
      </c>
      <c r="J11" s="29">
        <f>F11*H11/1000000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ROUNDUP('クリエイター経済'!$B$10*D12/(1-$B$28)/500,0)*500</f>
        <v/>
      </c>
      <c r="F12" s="6" t="n">
        <v>180000</v>
      </c>
      <c r="G12" s="35">
        <f>(E12+F12)/2</f>
        <v/>
      </c>
      <c r="H12" s="18" t="n">
        <v>2500</v>
      </c>
      <c r="I12" s="8">
        <f>D12*H12</f>
        <v/>
      </c>
      <c r="J12" s="29">
        <f>F12*H12/1000000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ROUNDUP('クリエイター経済'!$B$10*D13/(1-$B$28)/500,0)*500</f>
        <v/>
      </c>
      <c r="F13" s="6" t="n">
        <v>150000</v>
      </c>
      <c r="G13" s="35">
        <f>(E13+F13)/2</f>
        <v/>
      </c>
      <c r="H13" s="18" t="n">
        <v>5000</v>
      </c>
      <c r="I13" s="8">
        <f>D13*H13</f>
        <v/>
      </c>
      <c r="J13" s="29">
        <f>F13*H13/1000000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ROUNDUP('クリエイター経済'!$B$10*D14/(1-$B$28)/500,0)*500</f>
        <v/>
      </c>
      <c r="F14" s="6" t="n">
        <v>100000</v>
      </c>
      <c r="G14" s="35">
        <f>(E14+F14)/2</f>
        <v/>
      </c>
      <c r="H14" s="18" t="n">
        <v>3500</v>
      </c>
      <c r="I14" s="8">
        <f>D14*H14</f>
        <v/>
      </c>
      <c r="J14" s="29">
        <f>F14*H14/1000000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ROUNDUP('クリエイター経済'!$B$10*D15/(1-$B$28)/500,0)*500</f>
        <v/>
      </c>
      <c r="F15" s="6" t="n">
        <v>80000</v>
      </c>
      <c r="G15" s="35">
        <f>(E15+F15)/2</f>
        <v/>
      </c>
      <c r="H15" s="18" t="n">
        <v>2000</v>
      </c>
      <c r="I15" s="8">
        <f>D15*H15</f>
        <v/>
      </c>
      <c r="J15" s="29">
        <f>F15*H15/1000000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ROUNDUP('クリエイター経済'!$B$10*D16/(1-$B$28)/500,0)*500</f>
        <v/>
      </c>
      <c r="F16" s="6" t="n">
        <v>120000</v>
      </c>
      <c r="G16" s="35">
        <f>(E16+F16)/2</f>
        <v/>
      </c>
      <c r="H16" s="18" t="n">
        <v>6000</v>
      </c>
      <c r="I16" s="8">
        <f>D16*H16</f>
        <v/>
      </c>
      <c r="J16" s="29">
        <f>F16*H16/1000000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ROUNDUP('クリエイター経済'!$B$10*D17/(1-$B$28)/500,0)*500</f>
        <v/>
      </c>
      <c r="F17" s="6" t="n">
        <v>150000</v>
      </c>
      <c r="G17" s="35">
        <f>(E17+F17)/2</f>
        <v/>
      </c>
      <c r="H17" s="18" t="n">
        <v>5900</v>
      </c>
      <c r="I17" s="8">
        <f>D17*H17</f>
        <v/>
      </c>
      <c r="J17" s="29">
        <f>F17*H17/1000000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ROUNDUP('クリエイター経済'!$B$10*D18/(1-$B$28)/500,0)*500</f>
        <v/>
      </c>
      <c r="F18" s="6" t="n">
        <v>1000000</v>
      </c>
      <c r="G18" s="35">
        <f>(E18+F18)/2</f>
        <v/>
      </c>
      <c r="H18" s="18" t="n">
        <v>8900</v>
      </c>
      <c r="I18" s="8">
        <f>D18*H18</f>
        <v/>
      </c>
      <c r="J18" s="29">
        <f>F18*H18/1000000</f>
        <v/>
      </c>
      <c r="K18" s="7" t="inlineStr">
        <is>
          <t>上限100万。月742件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合計（②-Cの共食い前）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4">
      <c r="A24" s="5" t="inlineStr">
        <is>
          <t xml:space="preserve">　− ②-Cセルフサーブによる共食い（③-A）</t>
        </is>
      </c>
      <c r="J24" s="36">
        <f>-J20*G35</f>
        <v/>
      </c>
      <c r="K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J25" s="31">
        <f>J23+J24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37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37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37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C39*($B$29+$B$30)+C40*'システム原価'!$H$29/1000000</f>
        <v/>
      </c>
      <c r="D42" s="23">
        <f>D39*($B$29+$B$30)+D40*'システム原価'!$H$29/1000000</f>
        <v/>
      </c>
      <c r="E42" s="23">
        <f>E39*($B$29+$B$30)+E40*'システム原価'!$H$29/1000000</f>
        <v/>
      </c>
      <c r="F42" s="23">
        <f>F39*($B$29+$B$30)+F40*'システム原価'!$H$29/1000000</f>
        <v/>
      </c>
      <c r="G42" s="23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3">
        <f>$I$20*C32*(1-C35)+$I$21*C33+$I$22*C34</f>
        <v/>
      </c>
      <c r="D44" s="23">
        <f>$I$20*D32*(1-D35)+$I$21*D33+$I$22*D34</f>
        <v/>
      </c>
      <c r="E44" s="23">
        <f>$I$20*E32*(1-E35)+$I$21*E33+$I$22*E34</f>
        <v/>
      </c>
      <c r="F44" s="23">
        <f>$I$20*F32*(1-F35)+$I$21*F33+$I$22*F34</f>
        <v/>
      </c>
      <c r="G44" s="23">
        <f>$I$20*G32*(1-G35)+$I$21*G33+$I$22*G34</f>
        <v/>
      </c>
    </row>
    <row r="46">
      <c r="A46" s="38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C41</f>
        <v/>
      </c>
      <c r="D5" s="21">
        <f>D41</f>
        <v/>
      </c>
      <c r="E5" s="21">
        <f>E41</f>
        <v/>
      </c>
      <c r="F5" s="21">
        <f>F41</f>
        <v/>
      </c>
      <c r="G5" s="21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39" t="n">
        <v>30</v>
      </c>
      <c r="D18" s="39" t="n">
        <v>120</v>
      </c>
      <c r="E18" s="39" t="n">
        <v>500</v>
      </c>
      <c r="F18" s="39" t="n">
        <v>1200</v>
      </c>
      <c r="G18" s="39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5" t="n">
        <v>59</v>
      </c>
      <c r="C25" s="19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5" t="n">
        <v>40.1</v>
      </c>
      <c r="C26" s="19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5" t="n">
        <v>60</v>
      </c>
      <c r="C27" s="19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5" t="n">
        <v>37.5</v>
      </c>
      <c r="C28" s="19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5" t="n">
        <v>71.7</v>
      </c>
      <c r="C29" s="19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5" t="n">
        <v>104</v>
      </c>
      <c r="C30" s="19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0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8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18" t="n">
        <v>5</v>
      </c>
      <c r="D38" s="18" t="n">
        <v>10</v>
      </c>
      <c r="E38" s="18" t="n">
        <v>20</v>
      </c>
      <c r="F38" s="18" t="n">
        <v>30</v>
      </c>
      <c r="G38" s="18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5" t="n">
        <v>1</v>
      </c>
      <c r="D39" s="25" t="n">
        <v>1.2</v>
      </c>
      <c r="E39" s="25" t="n">
        <v>1.5</v>
      </c>
      <c r="F39" s="25" t="n">
        <v>1.9</v>
      </c>
      <c r="G39" s="25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3">
        <f>ROUNDUP(C38/C39,0)</f>
        <v/>
      </c>
      <c r="D40" s="23">
        <f>ROUNDUP(D38/D39,0)</f>
        <v/>
      </c>
      <c r="E40" s="23">
        <f>ROUNDUP(E38/E39,0)</f>
        <v/>
      </c>
      <c r="F40" s="23">
        <f>ROUNDUP(F38/F39,0)</f>
        <v/>
      </c>
      <c r="G40" s="23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3">
        <f>ROUNDUP(C40/5,0)</f>
        <v/>
      </c>
      <c r="D41" s="23">
        <f>ROUNDUP(D40/5,0)</f>
        <v/>
      </c>
      <c r="E41" s="23">
        <f>ROUNDUP(E40/5,0)</f>
        <v/>
      </c>
      <c r="F41" s="23">
        <f>ROUNDUP(F40/5,0)</f>
        <v/>
      </c>
      <c r="G41" s="23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8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18" t="n">
        <v>40</v>
      </c>
      <c r="C50" s="18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18" t="n">
        <v>20</v>
      </c>
      <c r="C51" s="18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18" t="n">
        <v>12</v>
      </c>
      <c r="C52" s="18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18" t="n">
        <v>6</v>
      </c>
      <c r="C53" s="18" t="n">
        <v>12</v>
      </c>
      <c r="H53" s="7" t="inlineStr"/>
    </row>
    <row r="54">
      <c r="A54" s="5" t="inlineStr">
        <is>
          <t>オフィス（社員22名）</t>
        </is>
      </c>
      <c r="B54" s="18" t="n">
        <v>30</v>
      </c>
      <c r="C54" s="18" t="n">
        <v>50</v>
      </c>
      <c r="H54" s="7" t="inlineStr"/>
    </row>
    <row r="55">
      <c r="A55" s="5" t="inlineStr">
        <is>
          <t>SaaS・通信・インフラ（非開発）</t>
        </is>
      </c>
      <c r="B55" s="18" t="n">
        <v>20</v>
      </c>
      <c r="C55" s="18" t="n">
        <v>40</v>
      </c>
      <c r="H55" s="7" t="inlineStr"/>
    </row>
    <row r="56">
      <c r="A56" s="5" t="inlineStr">
        <is>
          <t>採用・教育</t>
        </is>
      </c>
      <c r="B56" s="18" t="n">
        <v>30</v>
      </c>
      <c r="C56" s="18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18" t="n">
        <v>30</v>
      </c>
      <c r="C57" s="18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18" t="n">
        <v>20</v>
      </c>
      <c r="C58" s="18" t="n">
        <v>40</v>
      </c>
      <c r="H58" s="7" t="inlineStr"/>
    </row>
    <row r="59">
      <c r="A59" s="4" t="inlineStr">
        <is>
          <t>合計（百万円）</t>
        </is>
      </c>
      <c r="B59" s="21">
        <f>SUM(B50:B58)</f>
        <v/>
      </c>
      <c r="C59" s="21">
        <f>SUM(C50:C58)</f>
        <v/>
      </c>
    </row>
    <row r="60">
      <c r="A60" s="4" t="inlineStr">
        <is>
          <t>その他販管費（5期・売上の4%）</t>
        </is>
      </c>
      <c r="C60" s="6">
        <f>'損益計算書'!G28</f>
        <v/>
      </c>
    </row>
    <row r="61">
      <c r="A61" s="4" t="inlineStr">
        <is>
          <t>判定</t>
        </is>
      </c>
      <c r="C61" s="34">
        <f>IF(C60&gt;=C59,"○ 上限まで賄える","× 足りない")</f>
        <v/>
      </c>
      <c r="H61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知財関連費</t>
        </is>
      </c>
      <c r="B27" s="5" t="inlineStr"/>
      <c r="C27" s="8">
        <f>'前提'!$C$26+C12*'前提'!$C$27</f>
        <v/>
      </c>
      <c r="D27" s="8">
        <f>'前提'!$D$26+D12*'前提'!$D$27</f>
        <v/>
      </c>
      <c r="E27" s="8">
        <f>'前提'!$E$26+E12*'前提'!$E$27</f>
        <v/>
      </c>
      <c r="F27" s="8">
        <f>'前提'!$F$26+F12*'前提'!$F$27</f>
        <v/>
      </c>
      <c r="G27" s="8">
        <f>'前提'!$G$26+G12*'前提'!$G$27</f>
        <v/>
      </c>
      <c r="H27" s="7" t="inlineStr">
        <is>
          <t>1期は出願・商標の初期費用★、2期以降は売上の0.5%★</t>
        </is>
      </c>
    </row>
    <row r="28">
      <c r="A28" s="5" t="inlineStr">
        <is>
          <t>その他販管費</t>
        </is>
      </c>
      <c r="B28" s="5" t="inlineStr"/>
      <c r="C28" s="8">
        <f>C12*'前提'!$C$16</f>
        <v/>
      </c>
      <c r="D28" s="8">
        <f>D12*'前提'!$D$16</f>
        <v/>
      </c>
      <c r="E28" s="8">
        <f>E12*'前提'!$E$16</f>
        <v/>
      </c>
      <c r="F28" s="8">
        <f>F12*'前提'!$F$16</f>
        <v/>
      </c>
      <c r="G28" s="8">
        <f>G12*'前提'!$G$16</f>
        <v/>
      </c>
    </row>
    <row r="29">
      <c r="A29" s="4" t="inlineStr">
        <is>
          <t>販売費・一般管理費 計</t>
        </is>
      </c>
      <c r="B29" s="5" t="inlineStr"/>
      <c r="C29" s="41">
        <f>SUM(C21:C28)</f>
        <v/>
      </c>
      <c r="D29" s="41">
        <f>SUM(D21:D28)</f>
        <v/>
      </c>
      <c r="E29" s="41">
        <f>SUM(E21:E28)</f>
        <v/>
      </c>
      <c r="F29" s="41">
        <f>SUM(F21:F28)</f>
        <v/>
      </c>
      <c r="G29" s="41">
        <f>SUM(G21:G28)</f>
        <v/>
      </c>
    </row>
    <row r="30">
      <c r="A30" s="4" t="inlineStr">
        <is>
          <t>営業利益</t>
        </is>
      </c>
      <c r="B30" s="5" t="inlineStr"/>
      <c r="C30" s="6">
        <f>C18-C29</f>
        <v/>
      </c>
      <c r="D30" s="6">
        <f>D18-D29</f>
        <v/>
      </c>
      <c r="E30" s="6">
        <f>E18-E29</f>
        <v/>
      </c>
      <c r="F30" s="6">
        <f>F18-F29</f>
        <v/>
      </c>
      <c r="G30" s="6">
        <f>G18-G29</f>
        <v/>
      </c>
    </row>
    <row r="31">
      <c r="A31" s="4" t="inlineStr">
        <is>
          <t xml:space="preserve">　営業利益率</t>
        </is>
      </c>
      <c r="B31" s="5" t="inlineStr"/>
      <c r="C31" s="42">
        <f>IF(C12=0,0,C30/C12)</f>
        <v/>
      </c>
      <c r="D31" s="42">
        <f>IF(D12=0,0,D30/D12)</f>
        <v/>
      </c>
      <c r="E31" s="42">
        <f>IF(E12=0,0,E30/E12)</f>
        <v/>
      </c>
      <c r="F31" s="42">
        <f>IF(F12=0,0,F30/F12)</f>
        <v/>
      </c>
      <c r="G31" s="42">
        <f>IF(G12=0,0,G30/G12)</f>
        <v/>
      </c>
    </row>
    <row r="33">
      <c r="A33" s="12" t="inlineStr">
        <is>
          <t>投資家が見る指標</t>
        </is>
      </c>
    </row>
    <row r="34">
      <c r="A34" s="5" t="inlineStr">
        <is>
          <t>社員数</t>
        </is>
      </c>
      <c r="B34" s="5" t="inlineStr"/>
      <c r="C34" s="8">
        <f>'人員と人件費'!C10</f>
        <v/>
      </c>
      <c r="D34" s="8">
        <f>'人員と人件費'!D10</f>
        <v/>
      </c>
      <c r="E34" s="8">
        <f>'人員と人件費'!E10</f>
        <v/>
      </c>
      <c r="F34" s="8">
        <f>'人員と人件費'!F10</f>
        <v/>
      </c>
      <c r="G34" s="8">
        <f>'人員と人件費'!G10</f>
        <v/>
      </c>
    </row>
    <row r="35">
      <c r="A35" s="4" t="inlineStr">
        <is>
          <t>売上 / 社員（万円）</t>
        </is>
      </c>
      <c r="B35" s="5" t="inlineStr"/>
      <c r="C35" s="6">
        <f>IF(C34=0,0,C12*100/C34)</f>
        <v/>
      </c>
      <c r="D35" s="6">
        <f>IF(D34=0,0,D12*100/D34)</f>
        <v/>
      </c>
      <c r="E35" s="6">
        <f>IF(E34=0,0,E12*100/E34)</f>
        <v/>
      </c>
      <c r="F35" s="6">
        <f>IF(F34=0,0,F12*100/F34)</f>
        <v/>
      </c>
      <c r="G35" s="6">
        <f>IF(G34=0,0,G12*100/G34)</f>
        <v/>
      </c>
      <c r="H35" s="7" t="inlineStr">
        <is>
          <t>国内SaaSの平均2,000〜4,000万との比較</t>
        </is>
      </c>
    </row>
    <row r="36">
      <c r="A36" s="5" t="inlineStr">
        <is>
          <t>研究開発費 ÷ 売上</t>
        </is>
      </c>
      <c r="B36" s="5" t="inlineStr"/>
      <c r="C36" s="10">
        <f>IF(C12=0,0,C23/C12)</f>
        <v/>
      </c>
      <c r="D36" s="10">
        <f>IF(D12=0,0,D23/D12)</f>
        <v/>
      </c>
      <c r="E36" s="10">
        <f>IF(E12=0,0,E23/E12)</f>
        <v/>
      </c>
      <c r="F36" s="10">
        <f>IF(F12=0,0,F23/F12)</f>
        <v/>
      </c>
      <c r="G36" s="10">
        <f>IF(G12=0,0,G23/G12)</f>
        <v/>
      </c>
    </row>
    <row r="37">
      <c r="A37" s="5" t="inlineStr">
        <is>
          <t>人手に比例しない収益</t>
        </is>
      </c>
      <c r="B37" s="5" t="inlineStr"/>
      <c r="C37" s="8">
        <f>C10+C11+C4*(1-1/'前提'!$C$4)</f>
        <v/>
      </c>
      <c r="D37" s="8">
        <f>D10+D11+D4*(1-1/'前提'!$D$4)</f>
        <v/>
      </c>
      <c r="E37" s="8">
        <f>E10+E11+E4*(1-1/'前提'!$E$4)</f>
        <v/>
      </c>
      <c r="F37" s="8">
        <f>F10+F11+F4*(1-1/'前提'!$F$4)</f>
        <v/>
      </c>
      <c r="G37" s="8">
        <f>G10+G11+G4*(1-1/'前提'!$G$4)</f>
        <v/>
      </c>
      <c r="H37" s="7" t="inlineStr">
        <is>
          <t>②＋③＋①のうちAXで人手から切れた分</t>
        </is>
      </c>
    </row>
    <row r="38">
      <c r="A38" s="4" t="inlineStr">
        <is>
          <t xml:space="preserve">　同 比率</t>
        </is>
      </c>
      <c r="B38" s="5" t="inlineStr"/>
      <c r="C38" s="9">
        <f>IF(C12=0,0,C37/C12)</f>
        <v/>
      </c>
      <c r="D38" s="9">
        <f>IF(D12=0,0,D37/D12)</f>
        <v/>
      </c>
      <c r="E38" s="9">
        <f>IF(E12=0,0,E37/E12)</f>
        <v/>
      </c>
      <c r="F38" s="9">
        <f>IF(F12=0,0,F37/F12)</f>
        <v/>
      </c>
      <c r="G38" s="9">
        <f>IF(G12=0,0,G37/G12)</f>
        <v/>
      </c>
      <c r="H38" s="7" t="inlineStr">
        <is>
          <t>受託と読まれないための中心指標</t>
        </is>
      </c>
    </row>
    <row r="39">
      <c r="A39" s="5" t="inlineStr">
        <is>
          <t>顧客が浮かせる額</t>
        </is>
      </c>
      <c r="B39" s="5" t="inlineStr"/>
      <c r="C39" s="8">
        <f>'商品マスタ①'!I14</f>
        <v/>
      </c>
      <c r="D39" s="8">
        <f>'商品マスタ①'!J14</f>
        <v/>
      </c>
      <c r="E39" s="8">
        <f>'商品マスタ①'!K14</f>
        <v/>
      </c>
      <c r="F39" s="8">
        <f>'商品マスタ①'!L14</f>
        <v/>
      </c>
      <c r="G39" s="8">
        <f>'商品マスタ①'!M14</f>
        <v/>
      </c>
      <c r="H39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1">
        <f>'損益計算書'!C30</f>
        <v/>
      </c>
      <c r="D4" s="41">
        <f>'損益計算書'!D30</f>
        <v/>
      </c>
      <c r="E4" s="41">
        <f>'損益計算書'!E30</f>
        <v/>
      </c>
      <c r="F4" s="41">
        <f>'損益計算書'!F30</f>
        <v/>
      </c>
      <c r="G4" s="41">
        <f>'損益計算書'!G30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1">
        <f>C9+C10</f>
        <v/>
      </c>
      <c r="D11" s="41">
        <f>D9+D10</f>
        <v/>
      </c>
      <c r="E11" s="41">
        <f>E9+E10</f>
        <v/>
      </c>
      <c r="F11" s="41">
        <f>F9+F10</f>
        <v/>
      </c>
      <c r="G11" s="41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1">
        <f>C16+C17+C18</f>
        <v/>
      </c>
      <c r="D19" s="41">
        <f>D16+D17+D18</f>
        <v/>
      </c>
      <c r="E19" s="41">
        <f>E16+E17+E18</f>
        <v/>
      </c>
      <c r="F19" s="41">
        <f>F16+F17+F18</f>
        <v/>
      </c>
      <c r="G19" s="41">
        <f>G16+G17+G18</f>
        <v/>
      </c>
    </row>
    <row r="21">
      <c r="A21" s="4" t="inlineStr">
        <is>
          <t>当期キャッシュ増減</t>
        </is>
      </c>
      <c r="B21" s="5" t="inlineStr"/>
      <c r="C21" s="41">
        <f>C14+C15+C19</f>
        <v/>
      </c>
      <c r="D21" s="41">
        <f>D14+D15+D19</f>
        <v/>
      </c>
      <c r="E21" s="41">
        <f>E14+E15+E19</f>
        <v/>
      </c>
      <c r="F21" s="41">
        <f>F14+F15+F19</f>
        <v/>
      </c>
      <c r="G21" s="41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0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0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3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4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3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4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3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4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3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4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3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4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3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4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3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4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2">
        <f>D26</f>
        <v/>
      </c>
      <c r="C30" s="16" t="inlineStr">
        <is>
          <t>—</t>
        </is>
      </c>
      <c r="D30" s="17" t="inlineStr">
        <is>
          <t>× 除外</t>
        </is>
      </c>
      <c r="E30" s="42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2">
        <f>E26</f>
        <v/>
      </c>
      <c r="C31" s="16" t="inlineStr">
        <is>
          <t>—</t>
        </is>
      </c>
      <c r="D31" s="17" t="inlineStr">
        <is>
          <t>× 除外</t>
        </is>
      </c>
      <c r="E31" s="42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2">
        <f>F26</f>
        <v/>
      </c>
      <c r="C32" s="16">
        <f>IF(B32&lt;0.1,"10%未満","10%以上")</f>
        <v/>
      </c>
      <c r="D32" s="16">
        <f>IF(B32&lt;0.1,"○ 算入","× 除外")</f>
        <v/>
      </c>
      <c r="E32" s="42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2">
        <f>G26</f>
        <v/>
      </c>
      <c r="C33" s="16">
        <f>IF(B33&lt;0.1,"10%未満","10%以上")</f>
        <v/>
      </c>
      <c r="D33" s="16">
        <f>IF(B33&lt;0.1,"○ 算入","× 除外")</f>
        <v/>
      </c>
      <c r="E33" s="42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2">
        <f>H26</f>
        <v/>
      </c>
      <c r="C34" s="16" t="inlineStr">
        <is>
          <t>—</t>
        </is>
      </c>
      <c r="D34" s="16" t="inlineStr">
        <is>
          <t>○ 算入</t>
        </is>
      </c>
      <c r="E34" s="42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5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0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6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0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7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7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7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7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7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3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3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8" t="inlineStr">
        <is>
          <t>【当社 5期（2031年）】</t>
        </is>
      </c>
      <c r="B14" s="49">
        <f>'損益計算書'!$G$12/100</f>
        <v/>
      </c>
      <c r="C14" s="4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0" t="inlineStr">
        <is>
          <t>── 実測 ──</t>
        </is>
      </c>
      <c r="B4" s="43" t="inlineStr"/>
      <c r="C4" s="16" t="inlineStr"/>
      <c r="D4" s="7" t="inlineStr"/>
    </row>
    <row r="5">
      <c r="A5" s="5" t="inlineStr">
        <is>
          <t>国内 映像制作市場</t>
        </is>
      </c>
      <c r="B5" s="43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3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3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3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3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3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3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3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3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3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50" t="inlineStr">
        <is>
          <t>── 確認できなかった ──</t>
        </is>
      </c>
      <c r="B15" s="43" t="inlineStr"/>
      <c r="C15" s="16" t="inlineStr"/>
      <c r="D15" s="7" t="inlineStr"/>
    </row>
    <row r="16">
      <c r="A16" s="5" t="inlineStr">
        <is>
          <t>スキルシェア市場の映像比率</t>
        </is>
      </c>
      <c r="B16" s="43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0" t="inlineStr">
        <is>
          <t>── 松田さんの決定 ──</t>
        </is>
      </c>
      <c r="B17" s="43" t="inlineStr"/>
      <c r="C17" s="16" t="inlineStr"/>
      <c r="D17" s="7" t="inlineStr"/>
    </row>
    <row r="18">
      <c r="A18" s="5" t="inlineStr">
        <is>
          <t>③ 手数料率</t>
        </is>
      </c>
      <c r="B18" s="43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3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3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3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3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50" t="inlineStr">
        <is>
          <t>── ★私が置いた値 ──</t>
        </is>
      </c>
      <c r="B23" s="43" t="inlineStr"/>
      <c r="C23" s="16" t="inlineStr"/>
      <c r="D23" s="7" t="inlineStr"/>
    </row>
    <row r="24">
      <c r="A24" s="5" t="inlineStr">
        <is>
          <t>AX倍率</t>
        </is>
      </c>
      <c r="B24" s="43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3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3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3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3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3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3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3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3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50" t="inlineStr">
        <is>
          <t>── 未確定 ──</t>
        </is>
      </c>
      <c r="B33" s="43" t="inlineStr"/>
      <c r="C33" s="16" t="inlineStr"/>
      <c r="D33" s="7" t="inlineStr"/>
    </row>
    <row r="34">
      <c r="A34" s="5" t="inlineStr">
        <is>
          <t>中国の映像制作パートナー</t>
        </is>
      </c>
      <c r="B34" s="43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3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3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 — 支払う側と、取る側</t>
        </is>
      </c>
    </row>
    <row r="2">
      <c r="A2" s="2" t="inlineStr">
        <is>
          <t>AI映像は「他人の権利を使って作り、自分の権利を積む」事業。両方を1枚で持つ。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16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16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16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16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8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34" t="inlineStr">
        <is>
          <t>1期</t>
        </is>
      </c>
      <c r="B28" s="51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34" t="inlineStr">
        <is>
          <t>2期</t>
        </is>
      </c>
      <c r="B29" s="51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34" t="inlineStr">
        <is>
          <t>3期</t>
        </is>
      </c>
      <c r="B30" s="51" t="inlineStr">
        <is>
          <t>12</t>
        </is>
      </c>
      <c r="C30" s="7" t="inlineStr">
        <is>
          <t>同上</t>
        </is>
      </c>
    </row>
    <row r="31">
      <c r="A31" s="34" t="inlineStr">
        <is>
          <t>4期</t>
        </is>
      </c>
      <c r="B31" s="51" t="inlineStr">
        <is>
          <t>34</t>
        </is>
      </c>
      <c r="C31" s="7" t="inlineStr">
        <is>
          <t>同上</t>
        </is>
      </c>
    </row>
    <row r="32">
      <c r="A32" s="34" t="inlineStr">
        <is>
          <t>5期</t>
        </is>
      </c>
      <c r="B32" s="51" t="inlineStr">
        <is>
          <t>60</t>
        </is>
      </c>
      <c r="C32" s="7" t="inlineStr">
        <is>
          <t>同上</t>
        </is>
      </c>
    </row>
    <row r="34">
      <c r="A34" s="38" t="inlineStr">
        <is>
          <t>★ 金額はいずれも仮置き。弁理士の見積を取っていない。出願を1件でなく複数に分けると初期費用は上振れする。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2" t="inlineStr">
        <is>
          <t>0.4</t>
        </is>
      </c>
      <c r="B4" s="53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16" t="inlineStr"/>
      <c r="B5" s="53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2" t="inlineStr">
        <is>
          <t>0.5</t>
        </is>
      </c>
      <c r="B6" s="53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16" t="inlineStr"/>
      <c r="B7" s="53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16" t="inlineStr"/>
      <c r="B8" s="53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16" t="inlineStr"/>
      <c r="B9" s="53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2" t="inlineStr">
        <is>
          <t>0.6</t>
        </is>
      </c>
      <c r="B10" s="53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16" t="inlineStr"/>
      <c r="B11" s="53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16" t="inlineStr"/>
      <c r="B12" s="53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16" t="inlineStr"/>
      <c r="B13" s="53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16" t="inlineStr"/>
      <c r="B14" s="53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16" t="inlineStr"/>
      <c r="B15" s="53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16" t="inlineStr"/>
      <c r="B16" s="53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16" t="inlineStr"/>
      <c r="B17" s="53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16" t="inlineStr"/>
      <c r="B18" s="53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16" t="inlineStr"/>
      <c r="B19" s="53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2" t="inlineStr">
        <is>
          <t>0.7</t>
        </is>
      </c>
      <c r="B20" s="53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16" t="inlineStr"/>
      <c r="B21" s="53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2" t="inlineStr">
        <is>
          <t>0.8</t>
        </is>
      </c>
      <c r="B22" s="53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16" t="inlineStr"/>
      <c r="B23" s="53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16" t="inlineStr"/>
      <c r="B24" s="53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6">
      <c r="A26" s="38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120.0億、社員は 61名 → 22名。数字が良くなった分だけ、前提の説明責任が重くなっている。</t>
        </is>
      </c>
    </row>
    <row r="27">
      <c r="A27" s="38" t="inlineStr">
        <is>
          <t>⚠ PPTX「投資家向け企画書 Ver1.4.pptx」はまだ旧番号のまま。改番するかは松田さんの指示待ち。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2026-09-23T11:35:16Z</dcterms:created>
  <dcterms:modified xmlns:dcterms="http://purl.org/dc/terms/" xmlns:xsi="http://www.w3.org/2001/XMLSchema-instance" xsi:type="dcterms:W3CDTF">2026-09-23T11:35:16Z</dcterms:modified>
</cp:coreProperties>
</file>