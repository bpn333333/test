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前提" sheetId="2" state="visible" r:id="rId2"/>
    <sheet xmlns:r="http://schemas.openxmlformats.org/officeDocument/2006/relationships" name="クリエイター経済" sheetId="3" state="visible" r:id="rId3"/>
    <sheet xmlns:r="http://schemas.openxmlformats.org/officeDocument/2006/relationships" name="システム原価" sheetId="4" state="visible" r:id="rId4"/>
    <sheet xmlns:r="http://schemas.openxmlformats.org/officeDocument/2006/relationships" name="商品マスタ①" sheetId="5" state="visible" r:id="rId5"/>
    <sheet xmlns:r="http://schemas.openxmlformats.org/officeDocument/2006/relationships" name="営業体制" sheetId="6" state="visible" r:id="rId6"/>
    <sheet xmlns:r="http://schemas.openxmlformats.org/officeDocument/2006/relationships" name="商品マスタ②" sheetId="7" state="visible" r:id="rId7"/>
    <sheet xmlns:r="http://schemas.openxmlformats.org/officeDocument/2006/relationships" name="商品マスタ③" sheetId="8" state="visible" r:id="rId8"/>
    <sheet xmlns:r="http://schemas.openxmlformats.org/officeDocument/2006/relationships" name="人員と人件費" sheetId="9" state="visible" r:id="rId9"/>
    <sheet xmlns:r="http://schemas.openxmlformats.org/officeDocument/2006/relationships" name="損益計算書" sheetId="10" state="visible" r:id="rId10"/>
    <sheet xmlns:r="http://schemas.openxmlformats.org/officeDocument/2006/relationships" name="資金計画" sheetId="11" state="visible" r:id="rId11"/>
    <sheet xmlns:r="http://schemas.openxmlformats.org/officeDocument/2006/relationships" name="資本構成の推移" sheetId="12" state="visible" r:id="rId12"/>
    <sheet xmlns:r="http://schemas.openxmlformats.org/officeDocument/2006/relationships" name="資本政策とリターン" sheetId="13" state="visible" r:id="rId13"/>
    <sheet xmlns:r="http://schemas.openxmlformats.org/officeDocument/2006/relationships" name="業界ベンチマーク" sheetId="14" state="visible" r:id="rId14"/>
    <sheet xmlns:r="http://schemas.openxmlformats.org/officeDocument/2006/relationships" name="出所と仮置き" sheetId="15" state="visible" r:id="rId15"/>
    <sheet xmlns:r="http://schemas.openxmlformats.org/officeDocument/2006/relationships" name="改訂履歴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0.0"/>
    <numFmt numFmtId="167" formatCode="+0.0%;-0.0%;0.0%"/>
    <numFmt numFmtId="168" formatCode="0.000"/>
    <numFmt numFmtId="169" formatCode="0.0&quot;倍&quot;"/>
  </numFmts>
  <fonts count="7">
    <font>
      <name val="Calibri"/>
      <family val="2"/>
      <color theme="1"/>
      <sz val="11"/>
      <scheme val="minor"/>
    </font>
    <font>
      <name val="Yu Gothic"/>
      <b val="1"/>
      <color rgb="002A3563"/>
      <sz val="14"/>
    </font>
    <font>
      <name val="Yu Gothic"/>
      <color rgb="006E6E76"/>
      <sz val="9"/>
    </font>
    <font>
      <name val="Yu Gothic"/>
      <b val="1"/>
      <color rgb="00FFFFFF"/>
      <sz val="10"/>
    </font>
    <font>
      <name val="Yu Gothic"/>
      <b val="1"/>
      <color rgb="0016161A"/>
      <sz val="10"/>
    </font>
    <font>
      <name val="Yu Gothic"/>
      <color rgb="0016161A"/>
      <sz val="10"/>
    </font>
    <font>
      <name val="Yu Gothic"/>
      <b val="1"/>
      <color rgb="00B3121B"/>
      <sz val="10"/>
    </font>
  </fonts>
  <fills count="6">
    <fill>
      <patternFill/>
    </fill>
    <fill>
      <patternFill patternType="gray125"/>
    </fill>
    <fill>
      <patternFill patternType="solid">
        <fgColor rgb="002A3563"/>
      </patternFill>
    </fill>
    <fill>
      <patternFill patternType="solid">
        <fgColor rgb="00FFF6DC"/>
      </patternFill>
    </fill>
    <fill>
      <patternFill patternType="solid">
        <fgColor rgb="00F4F4F6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CD9D4"/>
      </left>
      <right style="thin">
        <color rgb="00DCD9D4"/>
      </right>
      <top style="thin">
        <color rgb="00DCD9D4"/>
      </top>
      <bottom style="thin">
        <color rgb="00DCD9D4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3" fontId="4" fillId="5" borderId="1" applyAlignment="1" pivotButton="0" quotePrefix="0" xfId="0">
      <alignment horizontal="right"/>
    </xf>
    <xf numFmtId="0" fontId="2" fillId="0" borderId="1" pivotButton="0" quotePrefix="0" xfId="0"/>
    <xf numFmtId="3" fontId="5" fillId="0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4" fillId="0" borderId="0" pivotButton="0" quotePrefix="0" xfId="0"/>
    <xf numFmtId="2" fontId="5" fillId="0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10" fontId="6" fillId="5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2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0" fontId="6" fillId="0" borderId="0" pivotButton="0" quotePrefix="0" xfId="0"/>
    <xf numFmtId="3" fontId="4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0" fontId="6" fillId="0" borderId="1" pivotButton="0" quotePrefix="0" xfId="0"/>
    <xf numFmtId="3" fontId="6" fillId="5" borderId="1" applyAlignment="1" pivotButton="0" quotePrefix="0" xfId="0">
      <alignment horizontal="right"/>
    </xf>
    <xf numFmtId="0" fontId="4" fillId="4" borderId="1" pivotButton="0" quotePrefix="0" xfId="0"/>
    <xf numFmtId="0" fontId="4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s="1" t="inlineStr">
        <is>
          <t>AI映像制作事業　5年計画サマリー（Ver0.7）</t>
        </is>
      </c>
    </row>
    <row r="2">
      <c r="A2" s="2" t="inlineStr">
        <is>
          <t>単位：百万円。事業×商品まで割って積み上げたもの。一本値は使っていない。⚠［仮置き］の前提に乗った計画であり、実績ではない。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売上高</t>
        </is>
      </c>
      <c r="B4" s="5" t="inlineStr"/>
      <c r="C4" s="6">
        <f>'損益計算書'!C12</f>
        <v/>
      </c>
      <c r="D4" s="6">
        <f>'損益計算書'!D12</f>
        <v/>
      </c>
      <c r="E4" s="6">
        <f>'損益計算書'!E12</f>
        <v/>
      </c>
      <c r="F4" s="6">
        <f>'損益計算書'!F12</f>
        <v/>
      </c>
      <c r="G4" s="6">
        <f>'損益計算書'!G12</f>
        <v/>
      </c>
      <c r="H4" s="7" t="inlineStr"/>
    </row>
    <row r="5">
      <c r="A5" s="5" t="inlineStr">
        <is>
          <t xml:space="preserve">　① 映像制作</t>
        </is>
      </c>
      <c r="B5" s="5" t="inlineStr"/>
      <c r="C5" s="8">
        <f>'損益計算書'!C4</f>
        <v/>
      </c>
      <c r="D5" s="8">
        <f>'損益計算書'!D4</f>
        <v/>
      </c>
      <c r="E5" s="8">
        <f>'損益計算書'!E4</f>
        <v/>
      </c>
      <c r="F5" s="8">
        <f>'損益計算書'!F4</f>
        <v/>
      </c>
      <c r="G5" s="8">
        <f>'損益計算書'!G4</f>
        <v/>
      </c>
      <c r="H5" s="7" t="inlineStr">
        <is>
          <t>4商品・本数は営業体制から</t>
        </is>
      </c>
    </row>
    <row r="6">
      <c r="A6" s="5" t="inlineStr">
        <is>
          <t xml:space="preserve">　② ツール外販</t>
        </is>
      </c>
      <c r="B6" s="5" t="inlineStr"/>
      <c r="C6" s="8">
        <f>'損益計算書'!C10</f>
        <v/>
      </c>
      <c r="D6" s="8">
        <f>'損益計算書'!D10</f>
        <v/>
      </c>
      <c r="E6" s="8">
        <f>'損益計算書'!E10</f>
        <v/>
      </c>
      <c r="F6" s="8">
        <f>'損益計算書'!F10</f>
        <v/>
      </c>
      <c r="G6" s="8">
        <f>'損益計算書'!G10</f>
        <v/>
      </c>
      <c r="H6" s="7" t="inlineStr">
        <is>
          <t>法人2階建て＋個人＋セルフサーブ</t>
        </is>
      </c>
    </row>
    <row r="7">
      <c r="A7" s="5" t="inlineStr">
        <is>
          <t xml:space="preserve">　③ 越境C2C手数料</t>
        </is>
      </c>
      <c r="B7" s="5" t="inlineStr"/>
      <c r="C7" s="8">
        <f>'損益計算書'!C11</f>
        <v/>
      </c>
      <c r="D7" s="8">
        <f>'損益計算書'!D11</f>
        <v/>
      </c>
      <c r="E7" s="8">
        <f>'損益計算書'!E11</f>
        <v/>
      </c>
      <c r="F7" s="8">
        <f>'損益計算書'!F11</f>
        <v/>
      </c>
      <c r="G7" s="8">
        <f>'損益計算書'!G11</f>
        <v/>
      </c>
      <c r="H7" s="7" t="inlineStr">
        <is>
          <t>14商品・手数料30%</t>
        </is>
      </c>
    </row>
    <row r="8">
      <c r="A8" s="5" t="inlineStr">
        <is>
          <t>売上総利益</t>
        </is>
      </c>
      <c r="B8" s="5" t="inlineStr"/>
      <c r="C8" s="8">
        <f>'損益計算書'!C18</f>
        <v/>
      </c>
      <c r="D8" s="8">
        <f>'損益計算書'!D18</f>
        <v/>
      </c>
      <c r="E8" s="8">
        <f>'損益計算書'!E18</f>
        <v/>
      </c>
      <c r="F8" s="8">
        <f>'損益計算書'!F18</f>
        <v/>
      </c>
      <c r="G8" s="8">
        <f>'損益計算書'!G18</f>
        <v/>
      </c>
      <c r="H8" s="7" t="inlineStr"/>
    </row>
    <row r="9">
      <c r="A9" s="4" t="inlineStr">
        <is>
          <t>営業利益</t>
        </is>
      </c>
      <c r="B9" s="5" t="inlineStr"/>
      <c r="C9" s="6">
        <f>'損益計算書'!C29</f>
        <v/>
      </c>
      <c r="D9" s="6">
        <f>'損益計算書'!D29</f>
        <v/>
      </c>
      <c r="E9" s="6">
        <f>'損益計算書'!E29</f>
        <v/>
      </c>
      <c r="F9" s="6">
        <f>'損益計算書'!F29</f>
        <v/>
      </c>
      <c r="G9" s="6">
        <f>'損益計算書'!G29</f>
        <v/>
      </c>
      <c r="H9" s="7" t="inlineStr"/>
    </row>
    <row r="10">
      <c r="A10" s="4" t="inlineStr">
        <is>
          <t xml:space="preserve">　営業利益率</t>
        </is>
      </c>
      <c r="B10" s="5" t="inlineStr"/>
      <c r="C10" s="9">
        <f>'損益計算書'!C30</f>
        <v/>
      </c>
      <c r="D10" s="9">
        <f>'損益計算書'!D30</f>
        <v/>
      </c>
      <c r="E10" s="9">
        <f>'損益計算書'!E30</f>
        <v/>
      </c>
      <c r="F10" s="9">
        <f>'損益計算書'!F30</f>
        <v/>
      </c>
      <c r="G10" s="9">
        <f>'損益計算書'!G30</f>
        <v/>
      </c>
      <c r="H10" s="7" t="inlineStr"/>
    </row>
    <row r="11">
      <c r="A11" s="5" t="inlineStr">
        <is>
          <t>営業キャッシュフロー</t>
        </is>
      </c>
      <c r="B11" s="5" t="inlineStr"/>
      <c r="C11" s="8">
        <f>'資金計画'!C14</f>
        <v/>
      </c>
      <c r="D11" s="8">
        <f>'資金計画'!D14</f>
        <v/>
      </c>
      <c r="E11" s="8">
        <f>'資金計画'!E14</f>
        <v/>
      </c>
      <c r="F11" s="8">
        <f>'資金計画'!F14</f>
        <v/>
      </c>
      <c r="G11" s="8">
        <f>'資金計画'!G14</f>
        <v/>
      </c>
      <c r="H11" s="7" t="inlineStr">
        <is>
          <t>税・運転資本の後</t>
        </is>
      </c>
    </row>
    <row r="12">
      <c r="A12" s="4" t="inlineStr">
        <is>
          <t>期末キャッシュ残高</t>
        </is>
      </c>
      <c r="B12" s="5" t="inlineStr"/>
      <c r="C12" s="6">
        <f>'資金計画'!C22</f>
        <v/>
      </c>
      <c r="D12" s="6">
        <f>'資金計画'!D22</f>
        <v/>
      </c>
      <c r="E12" s="6">
        <f>'資金計画'!E22</f>
        <v/>
      </c>
      <c r="F12" s="6">
        <f>'資金計画'!F22</f>
        <v/>
      </c>
      <c r="G12" s="6">
        <f>'資金計画'!G22</f>
        <v/>
      </c>
      <c r="H12" s="7" t="inlineStr">
        <is>
          <t>一度もマイナスにならないこと</t>
        </is>
      </c>
    </row>
    <row r="13">
      <c r="A13" s="5" t="inlineStr">
        <is>
          <t>社員数</t>
        </is>
      </c>
      <c r="B13" s="5" t="inlineStr"/>
      <c r="C13" s="8">
        <f>'損益計算書'!C33</f>
        <v/>
      </c>
      <c r="D13" s="8">
        <f>'損益計算書'!D33</f>
        <v/>
      </c>
      <c r="E13" s="8">
        <f>'損益計算書'!E33</f>
        <v/>
      </c>
      <c r="F13" s="8">
        <f>'損益計算書'!F33</f>
        <v/>
      </c>
      <c r="G13" s="8">
        <f>'損益計算書'!G33</f>
        <v/>
      </c>
      <c r="H13" s="7" t="inlineStr">
        <is>
          <t>業務委託・BPOは含まない</t>
        </is>
      </c>
    </row>
    <row r="14">
      <c r="A14" s="4" t="inlineStr">
        <is>
          <t>売上 / 社員（万円）</t>
        </is>
      </c>
      <c r="B14" s="5" t="inlineStr"/>
      <c r="C14" s="6">
        <f>'損益計算書'!C34</f>
        <v/>
      </c>
      <c r="D14" s="6">
        <f>'損益計算書'!D34</f>
        <v/>
      </c>
      <c r="E14" s="6">
        <f>'損益計算書'!E34</f>
        <v/>
      </c>
      <c r="F14" s="6">
        <f>'損益計算書'!F34</f>
        <v/>
      </c>
      <c r="G14" s="6">
        <f>'損益計算書'!G34</f>
        <v/>
      </c>
      <c r="H14" s="7" t="inlineStr"/>
    </row>
    <row r="15">
      <c r="A15" s="4" t="inlineStr">
        <is>
          <t>人手に比例しない収益 比率</t>
        </is>
      </c>
      <c r="B15" s="5" t="inlineStr"/>
      <c r="C15" s="9">
        <f>'損益計算書'!C37</f>
        <v/>
      </c>
      <c r="D15" s="9">
        <f>'損益計算書'!D37</f>
        <v/>
      </c>
      <c r="E15" s="9">
        <f>'損益計算書'!E37</f>
        <v/>
      </c>
      <c r="F15" s="9">
        <f>'損益計算書'!F37</f>
        <v/>
      </c>
      <c r="G15" s="9">
        <f>'損益計算書'!G37</f>
        <v/>
      </c>
      <c r="H15" s="7" t="inlineStr">
        <is>
          <t>受託と読まれないための中心指標</t>
        </is>
      </c>
    </row>
    <row r="16">
      <c r="A16" s="5" t="inlineStr">
        <is>
          <t>研究開発費 ÷ 売上</t>
        </is>
      </c>
      <c r="B16" s="5" t="inlineStr"/>
      <c r="C16" s="10">
        <f>'損益計算書'!C35</f>
        <v/>
      </c>
      <c r="D16" s="10">
        <f>'損益計算書'!D35</f>
        <v/>
      </c>
      <c r="E16" s="10">
        <f>'損益計算書'!E35</f>
        <v/>
      </c>
      <c r="F16" s="10">
        <f>'損益計算書'!F35</f>
        <v/>
      </c>
      <c r="G16" s="10">
        <f>'損益計算書'!G35</f>
        <v/>
      </c>
      <c r="H16" s="7" t="inlineStr"/>
    </row>
    <row r="17">
      <c r="A17" s="5" t="inlineStr">
        <is>
          <t>AX倍率</t>
        </is>
      </c>
      <c r="B17" s="5" t="inlineStr"/>
      <c r="C17" s="11">
        <f>'損益計算書'!C9</f>
        <v/>
      </c>
      <c r="D17" s="11">
        <f>'損益計算書'!D9</f>
        <v/>
      </c>
      <c r="E17" s="11">
        <f>'損益計算書'!E9</f>
        <v/>
      </c>
      <c r="F17" s="11">
        <f>'損益計算書'!F9</f>
        <v/>
      </c>
      <c r="G17" s="11">
        <f>'損益計算書'!G9</f>
        <v/>
      </c>
      <c r="H17" s="7" t="inlineStr">
        <is>
          <t>最重要前提★。3倍でも成立する</t>
        </is>
      </c>
    </row>
    <row r="18">
      <c r="A18" s="5" t="inlineStr">
        <is>
          <t>顧客が浮かせる額</t>
        </is>
      </c>
      <c r="B18" s="5" t="inlineStr"/>
      <c r="C18" s="8">
        <f>'損益計算書'!C38</f>
        <v/>
      </c>
      <c r="D18" s="8">
        <f>'損益計算書'!D38</f>
        <v/>
      </c>
      <c r="E18" s="8">
        <f>'損益計算書'!E38</f>
        <v/>
      </c>
      <c r="F18" s="8">
        <f>'損益計算書'!F38</f>
        <v/>
      </c>
      <c r="G18" s="8">
        <f>'損益計算書'!G38</f>
        <v/>
      </c>
      <c r="H18" s="7" t="inlineStr">
        <is>
          <t>①の提案の中身</t>
        </is>
      </c>
    </row>
    <row r="20">
      <c r="A20" s="12" t="inlineStr">
        <is>
          <t>継続収益（ARR）と非継続の内訳</t>
        </is>
      </c>
    </row>
    <row r="21" ht="24" customHeight="1">
      <c r="A21" s="3" t="inlineStr">
        <is>
          <t>項目</t>
        </is>
      </c>
      <c r="B21" s="3" t="inlineStr"/>
      <c r="C21" s="3" t="inlineStr">
        <is>
          <t>1期</t>
        </is>
      </c>
      <c r="D21" s="3" t="inlineStr">
        <is>
          <t>2期</t>
        </is>
      </c>
      <c r="E21" s="3" t="inlineStr">
        <is>
          <t>3期</t>
        </is>
      </c>
      <c r="F21" s="3" t="inlineStr">
        <is>
          <t>4期</t>
        </is>
      </c>
      <c r="G21" s="3" t="inlineStr">
        <is>
          <t>5期</t>
        </is>
      </c>
      <c r="H21" s="3" t="inlineStr">
        <is>
          <t>考え方</t>
        </is>
      </c>
    </row>
    <row r="22">
      <c r="A22" s="5" t="inlineStr">
        <is>
          <t>① 映像制作 ARR</t>
        </is>
      </c>
      <c r="B22" s="5" t="inlineStr"/>
      <c r="C22" s="8">
        <f>'商品マスタ①'!I21</f>
        <v/>
      </c>
      <c r="D22" s="8">
        <f>'商品マスタ①'!J21</f>
        <v/>
      </c>
      <c r="E22" s="8">
        <f>'商品マスタ①'!K21</f>
        <v/>
      </c>
      <c r="F22" s="8">
        <f>'商品マスタ①'!L21</f>
        <v/>
      </c>
      <c r="G22" s="8">
        <f>'商品マスタ①'!M21</f>
        <v/>
      </c>
      <c r="H22" s="7" t="inlineStr">
        <is>
          <t>案件ベース。リテイナー契約分のみ（いまは0）</t>
        </is>
      </c>
    </row>
    <row r="23">
      <c r="A23" s="5" t="inlineStr">
        <is>
          <t>② ツール外販 ARR</t>
        </is>
      </c>
      <c r="B23" s="5" t="inlineStr"/>
      <c r="C23" s="8">
        <f>'商品マスタ②'!C45</f>
        <v/>
      </c>
      <c r="D23" s="8">
        <f>'商品マスタ②'!D45</f>
        <v/>
      </c>
      <c r="E23" s="8">
        <f>'商品マスタ②'!E45</f>
        <v/>
      </c>
      <c r="F23" s="8">
        <f>'商品マスタ②'!F45</f>
        <v/>
      </c>
      <c r="G23" s="8">
        <f>'商品マスタ②'!G45</f>
        <v/>
      </c>
      <c r="H23" s="7" t="inlineStr">
        <is>
          <t>LoRA個別構築とセルフサーブ都度分を除く</t>
        </is>
      </c>
    </row>
    <row r="24">
      <c r="A24" s="5" t="inlineStr">
        <is>
          <t>③ 越境C2C ARR</t>
        </is>
      </c>
      <c r="B24" s="5" t="inlineStr"/>
      <c r="C24" s="8">
        <f>'商品マスタ③'!C49</f>
        <v/>
      </c>
      <c r="D24" s="8">
        <f>'商品マスタ③'!D49</f>
        <v/>
      </c>
      <c r="E24" s="8">
        <f>'商品マスタ③'!E49</f>
        <v/>
      </c>
      <c r="F24" s="8">
        <f>'商品マスタ③'!F49</f>
        <v/>
      </c>
      <c r="G24" s="8">
        <f>'商品マスタ③'!G49</f>
        <v/>
      </c>
      <c r="H24" s="7" t="inlineStr">
        <is>
          <t>取引ベースなのでゼロ</t>
        </is>
      </c>
    </row>
    <row r="25">
      <c r="A25" s="4" t="inlineStr">
        <is>
          <t>全社 ARR</t>
        </is>
      </c>
      <c r="B25" s="5" t="inlineStr"/>
      <c r="C25" s="6">
        <f>C22+C23+C24</f>
        <v/>
      </c>
      <c r="D25" s="6">
        <f>D22+D23+D24</f>
        <v/>
      </c>
      <c r="E25" s="6">
        <f>E22+E23+E24</f>
        <v/>
      </c>
      <c r="F25" s="6">
        <f>F22+F23+F24</f>
        <v/>
      </c>
      <c r="G25" s="6">
        <f>G22+G23+G24</f>
        <v/>
      </c>
      <c r="H25" s="7" t="inlineStr">
        <is>
          <t>投資家に「御社のARRは？」と聞かれたらこの行</t>
        </is>
      </c>
    </row>
    <row r="26">
      <c r="A26" s="4" t="inlineStr">
        <is>
          <t xml:space="preserve">　ARR比率（対 売上）</t>
        </is>
      </c>
      <c r="B26" s="5" t="inlineStr"/>
      <c r="C26" s="9">
        <f>IF(C4=0,0,C25/C4)</f>
        <v/>
      </c>
      <c r="D26" s="9">
        <f>IF(D4=0,0,D25/D4)</f>
        <v/>
      </c>
      <c r="E26" s="9">
        <f>IF(E4=0,0,E25/E4)</f>
        <v/>
      </c>
      <c r="F26" s="9">
        <f>IF(F4=0,0,F25/F4)</f>
        <v/>
      </c>
      <c r="G26" s="9">
        <f>IF(G4=0,0,G25/G4)</f>
        <v/>
      </c>
      <c r="H26" s="7" t="inlineStr">
        <is>
          <t>②以外は継続収益にならない</t>
        </is>
      </c>
    </row>
    <row r="27">
      <c r="A27" s="2" t="inlineStr">
        <is>
          <t>⚠ 継続収益になるのは②だけ。①は案件ベース、③は取引ベース。下のライン別評価でツール6〜8倍・C2C4〜6倍・制作1.5〜2.5倍と差をつけているのは、まさにこの違いを反映している。</t>
        </is>
      </c>
    </row>
    <row r="29">
      <c r="A29" s="12" t="inlineStr">
        <is>
          <t>シード投資家（1.42億）のリターン</t>
        </is>
      </c>
    </row>
    <row r="30" ht="24" customHeight="1">
      <c r="A30" s="3" t="inlineStr">
        <is>
          <t>ケース</t>
        </is>
      </c>
      <c r="B30" s="3" t="inlineStr"/>
      <c r="C30" s="3" t="inlineStr">
        <is>
          <t>時価総額(億)</t>
        </is>
      </c>
      <c r="D30" s="3" t="inlineStr">
        <is>
          <t>取り分(億)</t>
        </is>
      </c>
      <c r="E30" s="3" t="inlineStr">
        <is>
          <t>倍率</t>
        </is>
      </c>
      <c r="F30" s="3" t="inlineStr">
        <is>
          <t>IRR</t>
        </is>
      </c>
      <c r="G30" s="3" t="inlineStr"/>
      <c r="H30" s="3" t="inlineStr">
        <is>
          <t>根拠</t>
        </is>
      </c>
    </row>
    <row r="31">
      <c r="A31" s="4" t="inlineStr">
        <is>
          <t>ライン別・保守</t>
        </is>
      </c>
      <c r="B31" s="5" t="inlineStr"/>
      <c r="C31" s="8">
        <f>'資本政策とリターン'!E13</f>
        <v/>
      </c>
      <c r="D31" s="13">
        <f>'資本政策とリターン'!F13</f>
        <v/>
      </c>
      <c r="E31" s="14">
        <f>'資本政策とリターン'!G13</f>
        <v/>
      </c>
      <c r="F31" s="10">
        <f>'資本政策とリターン'!H13</f>
        <v/>
      </c>
      <c r="G31" s="5" t="inlineStr"/>
      <c r="H31" s="7" t="inlineStr">
        <is>
          <t>ツール6倍＋C2C4倍＋制作1.5倍</t>
        </is>
      </c>
    </row>
    <row r="32">
      <c r="A32" s="4" t="inlineStr">
        <is>
          <t>ライン別・中庸</t>
        </is>
      </c>
      <c r="B32" s="5" t="inlineStr"/>
      <c r="C32" s="8">
        <f>'資本政策とリターン'!E14</f>
        <v/>
      </c>
      <c r="D32" s="13">
        <f>'資本政策とリターン'!F14</f>
        <v/>
      </c>
      <c r="E32" s="14">
        <f>'資本政策とリターン'!G14</f>
        <v/>
      </c>
      <c r="F32" s="10">
        <f>'資本政策とリターン'!H14</f>
        <v/>
      </c>
      <c r="G32" s="5" t="inlineStr"/>
      <c r="H32" s="7" t="inlineStr">
        <is>
          <t>ツール7倍＋C2C5倍＋制作2.0倍</t>
        </is>
      </c>
    </row>
    <row r="33">
      <c r="A33" s="4" t="inlineStr">
        <is>
          <t>ライン別・強気</t>
        </is>
      </c>
      <c r="B33" s="5" t="inlineStr"/>
      <c r="C33" s="8">
        <f>'資本政策とリターン'!E15</f>
        <v/>
      </c>
      <c r="D33" s="13">
        <f>'資本政策とリターン'!F15</f>
        <v/>
      </c>
      <c r="E33" s="14">
        <f>'資本政策とリターン'!G15</f>
        <v/>
      </c>
      <c r="F33" s="10">
        <f>'資本政策とリターン'!H15</f>
        <v/>
      </c>
      <c r="G33" s="5" t="inlineStr"/>
      <c r="H33" s="7" t="inlineStr">
        <is>
          <t>ツール8倍＋C2C6倍＋制作2.5倍</t>
        </is>
      </c>
    </row>
    <row r="34">
      <c r="A34" s="4" t="inlineStr">
        <is>
          <t>全社 PSR 4倍</t>
        </is>
      </c>
      <c r="B34" s="5" t="inlineStr"/>
      <c r="C34" s="8">
        <f>'資本政策とリターン'!E19</f>
        <v/>
      </c>
      <c r="D34" s="13">
        <f>'資本政策とリターン'!F19</f>
        <v/>
      </c>
      <c r="E34" s="14">
        <f>'資本政策とリターン'!G19</f>
        <v/>
      </c>
      <c r="F34" s="10">
        <f>'資本政策とリターン'!H19</f>
        <v/>
      </c>
      <c r="G34" s="5" t="inlineStr"/>
      <c r="H34" s="7" t="inlineStr">
        <is>
          <t>人手に比例しない収益が9割であること</t>
        </is>
      </c>
    </row>
    <row r="35">
      <c r="A35" s="4" t="inlineStr">
        <is>
          <t>全社 PSR 5倍</t>
        </is>
      </c>
      <c r="B35" s="5" t="inlineStr"/>
      <c r="C35" s="8">
        <f>'資本政策とリターン'!E20</f>
        <v/>
      </c>
      <c r="D35" s="13">
        <f>'資本政策とリターン'!F20</f>
        <v/>
      </c>
      <c r="E35" s="14">
        <f>'資本政策とリターン'!G20</f>
        <v/>
      </c>
      <c r="F35" s="10">
        <f>'資本政策とリターン'!H20</f>
        <v/>
      </c>
      <c r="G35" s="5" t="inlineStr"/>
      <c r="H35" s="7" t="inlineStr"/>
    </row>
    <row r="37">
      <c r="A37" s="2" t="inlineStr">
        <is>
          <t>⚠ 上の倍率は事業計画からの逆算であって、投資の推奨でも利回りの保証でもない。前提の多くは未実証（「出所と仮置き」シート参照）。</t>
        </is>
      </c>
    </row>
    <row r="39">
      <c r="A39" s="12" t="inlineStr">
        <is>
          <t>このモデルの読み方</t>
        </is>
      </c>
    </row>
    <row r="40">
      <c r="A40" s="2" t="inlineStr">
        <is>
          <t>入力は「前提」と3つの「商品マスタ」の黄色セルだけ。ほかは全部そこを参照する数式。</t>
        </is>
      </c>
    </row>
    <row r="41">
      <c r="A41" s="2" t="inlineStr">
        <is>
          <t>①の平均単価と平均難度は、商品構成比から導出される。直接は入力できない。</t>
        </is>
      </c>
    </row>
    <row r="42">
      <c r="A42" s="2" t="inlineStr">
        <is>
          <t>③は成約が価格帯のどこに落ちるかで3倍動く。いまは中点（均等）を採用している。</t>
        </is>
      </c>
    </row>
    <row r="43">
      <c r="A43" s="2" t="inlineStr">
        <is>
          <t>⚠ xlsx を手で編集しないこと。make_xlsx15.py を直して再生成する。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48" customWidth="1" min="10" max="10"/>
  </cols>
  <sheetData>
    <row r="1">
      <c r="A1" s="1" t="inlineStr">
        <is>
          <t>前提（全社共通の入力）</t>
        </is>
      </c>
    </row>
    <row r="2">
      <c r="A2" s="2" t="inlineStr">
        <is>
          <t>黄色が入力。商品ごとの単価・件数は各「商品マスタ」シートにある。区分［仮置き］は未実証。</t>
        </is>
      </c>
    </row>
    <row r="3" ht="24" customHeight="1">
      <c r="A3" s="3" t="inlineStr">
        <is>
          <t>大分類</t>
        </is>
      </c>
      <c r="B3" s="3" t="inlineStr">
        <is>
          <t>項目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単位</t>
        </is>
      </c>
      <c r="I3" s="3" t="inlineStr">
        <is>
          <t>区分</t>
        </is>
      </c>
      <c r="J3" s="3" t="inlineStr">
        <is>
          <t>備考・出所</t>
        </is>
      </c>
    </row>
    <row r="4">
      <c r="A4" s="4" t="inlineStr">
        <is>
          <t>制作</t>
        </is>
      </c>
      <c r="B4" s="5" t="inlineStr">
        <is>
          <t>AX倍率</t>
        </is>
      </c>
      <c r="C4" s="15" t="n">
        <v>1</v>
      </c>
      <c r="D4" s="15" t="n">
        <v>1.5</v>
      </c>
      <c r="E4" s="15" t="n">
        <v>2.2</v>
      </c>
      <c r="F4" s="15" t="n">
        <v>3</v>
      </c>
      <c r="G4" s="15" t="n">
        <v>4</v>
      </c>
      <c r="H4" s="16" t="inlineStr">
        <is>
          <t>倍</t>
        </is>
      </c>
      <c r="I4" s="17" t="inlineStr">
        <is>
          <t>［仮置き］</t>
        </is>
      </c>
      <c r="J4" s="7" t="inlineStr">
        <is>
          <t>1人あたり制作本数の倍率。計画の最重要前提</t>
        </is>
      </c>
    </row>
    <row r="5">
      <c r="A5" s="4" t="inlineStr"/>
      <c r="B5" s="5" t="inlineStr">
        <is>
          <t>中国クリエイターへの支払</t>
        </is>
      </c>
      <c r="C5" s="18" t="n">
        <v>12</v>
      </c>
      <c r="D5" s="18" t="n">
        <v>12</v>
      </c>
      <c r="E5" s="18" t="n">
        <v>12</v>
      </c>
      <c r="F5" s="18" t="n">
        <v>12</v>
      </c>
      <c r="G5" s="18" t="n">
        <v>12</v>
      </c>
      <c r="H5" s="16" t="inlineStr">
        <is>
          <t>万円/本</t>
        </is>
      </c>
      <c r="I5" s="17" t="inlineStr">
        <is>
          <t>［仮置き］</t>
        </is>
      </c>
      <c r="J5" s="7" t="inlineStr">
        <is>
          <t>難度1.0のとき。実効時給3,000〜6,000円で、③より厚く払う（松田さん決定）</t>
        </is>
      </c>
    </row>
    <row r="6">
      <c r="A6" s="4" t="inlineStr"/>
      <c r="B6" s="5" t="inlineStr">
        <is>
          <t>制作ディレクション（AX前）</t>
        </is>
      </c>
      <c r="C6" s="18" t="n">
        <v>20</v>
      </c>
      <c r="D6" s="18" t="n">
        <v>20</v>
      </c>
      <c r="E6" s="18" t="n">
        <v>20</v>
      </c>
      <c r="F6" s="18" t="n">
        <v>20</v>
      </c>
      <c r="G6" s="18" t="n">
        <v>20</v>
      </c>
      <c r="H6" s="16" t="inlineStr">
        <is>
          <t>万円/本</t>
        </is>
      </c>
      <c r="I6" s="17" t="inlineStr">
        <is>
          <t>［仮置き］</t>
        </is>
      </c>
      <c r="J6" s="7" t="inlineStr">
        <is>
          <t>業務委託。成果物単位なのでAX倍率で除される</t>
        </is>
      </c>
    </row>
    <row r="7">
      <c r="A7" s="4" t="inlineStr"/>
      <c r="B7" s="5" t="inlineStr">
        <is>
          <t>AIツール・素材・レンダリング</t>
        </is>
      </c>
      <c r="C7" s="18" t="n">
        <v>2</v>
      </c>
      <c r="D7" s="18" t="n">
        <v>2</v>
      </c>
      <c r="E7" s="18" t="n">
        <v>2</v>
      </c>
      <c r="F7" s="18" t="n">
        <v>2</v>
      </c>
      <c r="G7" s="18" t="n">
        <v>2</v>
      </c>
      <c r="H7" s="16" t="inlineStr">
        <is>
          <t>万円/本</t>
        </is>
      </c>
      <c r="I7" s="17" t="inlineStr">
        <is>
          <t>［仮置き］</t>
        </is>
      </c>
      <c r="J7" s="7" t="inlineStr">
        <is>
          <t>クラウドGPU・素材</t>
        </is>
      </c>
    </row>
    <row r="8">
      <c r="A8" s="4" t="inlineStr"/>
      <c r="B8" s="5" t="inlineStr">
        <is>
          <t>品質バッファ（作り直し）</t>
        </is>
      </c>
      <c r="C8" s="15" t="n">
        <v>1.5</v>
      </c>
      <c r="D8" s="15" t="n">
        <v>1.5</v>
      </c>
      <c r="E8" s="15" t="n">
        <v>1.5</v>
      </c>
      <c r="F8" s="15" t="n">
        <v>1.5</v>
      </c>
      <c r="G8" s="15" t="n">
        <v>1.5</v>
      </c>
      <c r="H8" s="16" t="inlineStr">
        <is>
          <t>万円/本</t>
        </is>
      </c>
      <c r="I8" s="17" t="inlineStr">
        <is>
          <t>［仮置き］</t>
        </is>
      </c>
      <c r="J8" s="7" t="inlineStr">
        <is>
          <t>検収落ちの引当</t>
        </is>
      </c>
    </row>
    <row r="9">
      <c r="A9" s="4" t="inlineStr">
        <is>
          <t>費用</t>
        </is>
      </c>
      <c r="B9" s="5" t="inlineStr">
        <is>
          <t>研究開発費</t>
        </is>
      </c>
      <c r="C9" s="18" t="n">
        <v>30</v>
      </c>
      <c r="D9" s="18" t="n">
        <v>120</v>
      </c>
      <c r="E9" s="18" t="n">
        <v>450</v>
      </c>
      <c r="F9" s="18" t="n">
        <v>1000</v>
      </c>
      <c r="G9" s="18" t="n">
        <v>1600</v>
      </c>
      <c r="H9" s="16" t="inlineStr">
        <is>
          <t>百万円</t>
        </is>
      </c>
      <c r="I9" s="17" t="inlineStr">
        <is>
          <t>［仮置き］</t>
        </is>
      </c>
      <c r="J9" s="7" t="inlineStr">
        <is>
          <t>AX倍率を上げ続けるための投資</t>
        </is>
      </c>
    </row>
    <row r="10">
      <c r="A10" s="4" t="inlineStr"/>
      <c r="B10" s="5" t="inlineStr">
        <is>
          <t>BPO（CS・運用）</t>
        </is>
      </c>
      <c r="C10" s="18" t="n">
        <v>0</v>
      </c>
      <c r="D10" s="18" t="n">
        <v>10</v>
      </c>
      <c r="E10" s="18" t="n">
        <v>120</v>
      </c>
      <c r="F10" s="18" t="n">
        <v>450</v>
      </c>
      <c r="G10" s="18" t="n">
        <v>1000</v>
      </c>
      <c r="H10" s="16" t="inlineStr">
        <is>
          <t>百万円</t>
        </is>
      </c>
      <c r="I10" s="17" t="inlineStr">
        <is>
          <t>［仮置き］</t>
        </is>
      </c>
      <c r="J10" s="7" t="inlineStr">
        <is>
          <t>社員ではなく外部委託</t>
        </is>
      </c>
    </row>
    <row r="11">
      <c r="A11" s="4" t="inlineStr"/>
      <c r="B11" s="5" t="inlineStr">
        <is>
          <t>獲得費（固定分）</t>
        </is>
      </c>
      <c r="C11" s="18" t="n">
        <v>6</v>
      </c>
      <c r="D11" s="18" t="n">
        <v>40</v>
      </c>
      <c r="E11" s="18" t="n">
        <v>90</v>
      </c>
      <c r="F11" s="18" t="n">
        <v>150</v>
      </c>
      <c r="G11" s="18" t="n">
        <v>200</v>
      </c>
      <c r="H11" s="16" t="inlineStr">
        <is>
          <t>百万円</t>
        </is>
      </c>
      <c r="I11" s="17" t="inlineStr">
        <is>
          <t>［仮置き］</t>
        </is>
      </c>
      <c r="J11" s="7" t="inlineStr">
        <is>
          <t>C2C発注者の獲得ほか</t>
        </is>
      </c>
    </row>
    <row r="12">
      <c r="A12" s="4" t="inlineStr"/>
      <c r="B12" s="5" t="inlineStr">
        <is>
          <t>獲得費率（①売上比）</t>
        </is>
      </c>
      <c r="C12" s="19" t="n">
        <v>0.06</v>
      </c>
      <c r="D12" s="19" t="n">
        <v>0.06</v>
      </c>
      <c r="E12" s="19" t="n">
        <v>0.06</v>
      </c>
      <c r="F12" s="19" t="n">
        <v>0.06</v>
      </c>
      <c r="G12" s="19" t="n">
        <v>0.06</v>
      </c>
      <c r="H12" s="16" t="inlineStr">
        <is>
          <t>%</t>
        </is>
      </c>
      <c r="I12" s="17" t="inlineStr">
        <is>
          <t>［仮置き］</t>
        </is>
      </c>
      <c r="J12" s="7" t="inlineStr">
        <is>
          <t>SALES_COST.md</t>
        </is>
      </c>
    </row>
    <row r="13">
      <c r="A13" s="4" t="inlineStr"/>
      <c r="B13" s="5" t="inlineStr">
        <is>
          <t>獲得費率（②売上比）</t>
        </is>
      </c>
      <c r="C13" s="19" t="n">
        <v>0.15</v>
      </c>
      <c r="D13" s="19" t="n">
        <v>0.15</v>
      </c>
      <c r="E13" s="19" t="n">
        <v>0.15</v>
      </c>
      <c r="F13" s="19" t="n">
        <v>0.15</v>
      </c>
      <c r="G13" s="19" t="n">
        <v>0.15</v>
      </c>
      <c r="H13" s="16" t="inlineStr">
        <is>
          <t>%</t>
        </is>
      </c>
      <c r="I13" s="17" t="inlineStr">
        <is>
          <t>［仮置き］</t>
        </is>
      </c>
      <c r="J13" s="7" t="inlineStr">
        <is>
          <t>営業・CS</t>
        </is>
      </c>
    </row>
    <row r="14">
      <c r="A14" s="4" t="inlineStr"/>
      <c r="B14" s="5" t="inlineStr">
        <is>
          <t>代理店経由の比率（①）</t>
        </is>
      </c>
      <c r="C14" s="19" t="n">
        <v>0</v>
      </c>
      <c r="D14" s="19" t="n">
        <v>0.053</v>
      </c>
      <c r="E14" s="19" t="n">
        <v>0.099</v>
      </c>
      <c r="F14" s="19" t="n">
        <v>0.147</v>
      </c>
      <c r="G14" s="19" t="n">
        <v>0.159</v>
      </c>
      <c r="H14" s="16" t="inlineStr">
        <is>
          <t>%</t>
        </is>
      </c>
      <c r="I14" s="16" t="inlineStr">
        <is>
          <t>計算値</t>
        </is>
      </c>
      <c r="J14" s="7" t="inlineStr">
        <is>
          <t>営業体制シートの代理店チャネル ÷ 総本数</t>
        </is>
      </c>
    </row>
    <row r="15">
      <c r="A15" s="4" t="inlineStr"/>
      <c r="B15" s="5" t="inlineStr">
        <is>
          <t>代理店手数料率</t>
        </is>
      </c>
      <c r="C15" s="19" t="n">
        <v>0.15</v>
      </c>
      <c r="D15" s="19" t="n">
        <v>0.15</v>
      </c>
      <c r="E15" s="19" t="n">
        <v>0.15</v>
      </c>
      <c r="F15" s="19" t="n">
        <v>0.15</v>
      </c>
      <c r="G15" s="19" t="n">
        <v>0.15</v>
      </c>
      <c r="H15" s="16" t="inlineStr">
        <is>
          <t>%</t>
        </is>
      </c>
      <c r="I15" s="17" t="inlineStr">
        <is>
          <t>［仮置き］</t>
        </is>
      </c>
      <c r="J15" s="7" t="inlineStr">
        <is>
          <t>①の代理店チャネルに対して</t>
        </is>
      </c>
    </row>
    <row r="16">
      <c r="A16" s="4" t="inlineStr"/>
      <c r="B16" s="5" t="inlineStr">
        <is>
          <t>その他販管費率（売上比）</t>
        </is>
      </c>
      <c r="C16" s="19" t="n">
        <v>0.04</v>
      </c>
      <c r="D16" s="19" t="n">
        <v>0.04</v>
      </c>
      <c r="E16" s="19" t="n">
        <v>0.04</v>
      </c>
      <c r="F16" s="19" t="n">
        <v>0.04</v>
      </c>
      <c r="G16" s="19" t="n">
        <v>0.04</v>
      </c>
      <c r="H16" s="16" t="inlineStr">
        <is>
          <t>%</t>
        </is>
      </c>
      <c r="I16" s="17" t="inlineStr">
        <is>
          <t>［仮置き］</t>
        </is>
      </c>
      <c r="J16" s="7" t="inlineStr">
        <is>
          <t>オフィス・SaaS・法務</t>
        </is>
      </c>
    </row>
    <row r="17">
      <c r="A17" s="4" t="inlineStr"/>
      <c r="B17" s="5" t="inlineStr">
        <is>
          <t>法定福利費等の負担率</t>
        </is>
      </c>
      <c r="C17" s="20" t="n">
        <v>1.16</v>
      </c>
      <c r="D17" s="20" t="n">
        <v>1.16</v>
      </c>
      <c r="E17" s="20" t="n">
        <v>1.16</v>
      </c>
      <c r="F17" s="20" t="n">
        <v>1.16</v>
      </c>
      <c r="G17" s="20" t="n">
        <v>1.16</v>
      </c>
      <c r="H17" s="16" t="inlineStr">
        <is>
          <t>倍</t>
        </is>
      </c>
      <c r="I17" s="17" t="inlineStr">
        <is>
          <t>［仮置き］</t>
        </is>
      </c>
      <c r="J17" s="7" t="inlineStr">
        <is>
          <t>年収に対する会社負担</t>
        </is>
      </c>
    </row>
    <row r="18">
      <c r="A18" s="4" t="inlineStr">
        <is>
          <t>資金</t>
        </is>
      </c>
      <c r="B18" s="5" t="inlineStr">
        <is>
          <t>実効税率</t>
        </is>
      </c>
      <c r="C18" s="19" t="n">
        <v>0.3</v>
      </c>
      <c r="D18" s="19" t="n">
        <v>0.3</v>
      </c>
      <c r="E18" s="19" t="n">
        <v>0.3</v>
      </c>
      <c r="F18" s="19" t="n">
        <v>0.3</v>
      </c>
      <c r="G18" s="19" t="n">
        <v>0.3</v>
      </c>
      <c r="H18" s="16" t="inlineStr">
        <is>
          <t>%</t>
        </is>
      </c>
      <c r="I18" s="17" t="inlineStr">
        <is>
          <t>［仮置き］</t>
        </is>
      </c>
      <c r="J18" s="7" t="inlineStr">
        <is>
          <t>繰越欠損金の控除後</t>
        </is>
      </c>
    </row>
    <row r="19">
      <c r="A19" s="4" t="inlineStr"/>
      <c r="B19" s="5" t="inlineStr">
        <is>
          <t>売上債権 回転日数（①）</t>
        </is>
      </c>
      <c r="C19" s="18" t="n">
        <v>60</v>
      </c>
      <c r="D19" s="18" t="n">
        <v>60</v>
      </c>
      <c r="E19" s="18" t="n">
        <v>60</v>
      </c>
      <c r="F19" s="18" t="n">
        <v>60</v>
      </c>
      <c r="G19" s="18" t="n">
        <v>60</v>
      </c>
      <c r="H19" s="16" t="inlineStr">
        <is>
          <t>日</t>
        </is>
      </c>
      <c r="I19" s="17" t="inlineStr">
        <is>
          <t>［仮置き］</t>
        </is>
      </c>
      <c r="J19" s="7" t="inlineStr">
        <is>
          <t>検収後の入金サイト</t>
        </is>
      </c>
    </row>
    <row r="20">
      <c r="A20" s="4" t="inlineStr"/>
      <c r="B20" s="5" t="inlineStr">
        <is>
          <t>仕入債務 回転日数（①原価）</t>
        </is>
      </c>
      <c r="C20" s="18" t="n">
        <v>30</v>
      </c>
      <c r="D20" s="18" t="n">
        <v>30</v>
      </c>
      <c r="E20" s="18" t="n">
        <v>30</v>
      </c>
      <c r="F20" s="18" t="n">
        <v>30</v>
      </c>
      <c r="G20" s="18" t="n">
        <v>30</v>
      </c>
      <c r="H20" s="16" t="inlineStr">
        <is>
          <t>日</t>
        </is>
      </c>
      <c r="I20" s="17" t="inlineStr">
        <is>
          <t>［仮置き］</t>
        </is>
      </c>
      <c r="J20" s="7" t="inlineStr">
        <is>
          <t>制作パートナーへの支払</t>
        </is>
      </c>
    </row>
    <row r="21">
      <c r="A21" s="4" t="inlineStr"/>
      <c r="B21" s="5" t="inlineStr">
        <is>
          <t>ツール外販の前受期間</t>
        </is>
      </c>
      <c r="C21" s="18" t="n">
        <v>180</v>
      </c>
      <c r="D21" s="18" t="n">
        <v>180</v>
      </c>
      <c r="E21" s="18" t="n">
        <v>180</v>
      </c>
      <c r="F21" s="18" t="n">
        <v>180</v>
      </c>
      <c r="G21" s="18" t="n">
        <v>180</v>
      </c>
      <c r="H21" s="16" t="inlineStr">
        <is>
          <t>日</t>
        </is>
      </c>
      <c r="I21" s="17" t="inlineStr">
        <is>
          <t>［仮置き］</t>
        </is>
      </c>
      <c r="J21" s="7" t="inlineStr">
        <is>
          <t>年額一括前受の平均残高</t>
        </is>
      </c>
    </row>
    <row r="22">
      <c r="A22" s="4" t="inlineStr"/>
      <c r="B22" s="5" t="inlineStr">
        <is>
          <t>設備投資</t>
        </is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6" t="inlineStr">
        <is>
          <t>百万円</t>
        </is>
      </c>
      <c r="I22" s="16" t="inlineStr">
        <is>
          <t>方針</t>
        </is>
      </c>
      <c r="J22" s="7" t="inlineStr">
        <is>
          <t>クラウド前提。自社設備を持たない</t>
        </is>
      </c>
    </row>
    <row r="23">
      <c r="A23" s="4" t="inlineStr"/>
      <c r="B23" s="5" t="inlineStr">
        <is>
          <t>調達：シード</t>
        </is>
      </c>
      <c r="C23" s="18" t="n">
        <v>150</v>
      </c>
      <c r="D23" s="18" t="n">
        <v>0</v>
      </c>
      <c r="E23" s="18" t="n">
        <v>0</v>
      </c>
      <c r="F23" s="18" t="n">
        <v>0</v>
      </c>
      <c r="G23" s="18" t="n">
        <v>0</v>
      </c>
      <c r="H23" s="16" t="inlineStr">
        <is>
          <t>百万円</t>
        </is>
      </c>
      <c r="I23" s="16" t="inlineStr">
        <is>
          <t>確定</t>
        </is>
      </c>
      <c r="J23" s="7" t="inlineStr">
        <is>
          <t>J-KISS 1.42億＋代表個人0.08億</t>
        </is>
      </c>
    </row>
    <row r="24">
      <c r="A24" s="4" t="inlineStr"/>
      <c r="B24" s="5" t="inlineStr">
        <is>
          <t>調達：シリーズA</t>
        </is>
      </c>
      <c r="C24" s="18" t="n">
        <v>0</v>
      </c>
      <c r="D24" s="18" t="n">
        <v>300</v>
      </c>
      <c r="E24" s="18" t="n">
        <v>0</v>
      </c>
      <c r="F24" s="18" t="n">
        <v>0</v>
      </c>
      <c r="G24" s="18" t="n">
        <v>0</v>
      </c>
      <c r="H24" s="16" t="inlineStr">
        <is>
          <t>百万円</t>
        </is>
      </c>
      <c r="I24" s="16" t="inlineStr">
        <is>
          <t>計画</t>
        </is>
      </c>
      <c r="J24" s="7" t="inlineStr">
        <is>
          <t>2期。無いと2期末に資金ショート</t>
        </is>
      </c>
    </row>
    <row r="25">
      <c r="A25" s="4" t="inlineStr"/>
      <c r="B25" s="5" t="inlineStr">
        <is>
          <t>調達：借入</t>
        </is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6" t="inlineStr">
        <is>
          <t>百万円</t>
        </is>
      </c>
      <c r="I25" s="16" t="inlineStr">
        <is>
          <t>方針</t>
        </is>
      </c>
      <c r="J25" s="7" t="inlineStr">
        <is>
          <t>借入はしない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4" customWidth="1" min="4" max="4"/>
    <col width="52" customWidth="1" min="5" max="5"/>
  </cols>
  <sheetData>
    <row r="1">
      <c r="A1" s="1" t="inlineStr">
        <is>
          <t>クリエイターがいくらなら受けるか — ③の価格下限はここから出る</t>
        </is>
      </c>
    </row>
    <row r="2">
      <c r="A2" s="2" t="inlineStr">
        <is>
          <t>マーケットプレイスは供給側が受けなければ成立しない。拘束条件はクリエイター側にある。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>
        <is>
          <t>出所・考え方</t>
        </is>
      </c>
    </row>
    <row r="4">
      <c r="A4" s="5" t="inlineStr">
        <is>
          <t>中国 剪辑師 平均月給</t>
        </is>
      </c>
      <c r="B4" s="18" t="n">
        <v>8935</v>
      </c>
      <c r="C4" s="16" t="inlineStr">
        <is>
          <t>元/月</t>
        </is>
      </c>
      <c r="D4" s="16" t="inlineStr">
        <is>
          <t>実測</t>
        </is>
      </c>
      <c r="E4" s="7" t="inlineStr">
        <is>
          <t>Indeed 中国（剪辑師の平均薪資）</t>
        </is>
      </c>
    </row>
    <row r="5">
      <c r="A5" s="5" t="inlineStr">
        <is>
          <t>為替</t>
        </is>
      </c>
      <c r="B5" s="18" t="n">
        <v>21</v>
      </c>
      <c r="C5" s="16" t="inlineStr">
        <is>
          <t>円/元</t>
        </is>
      </c>
      <c r="D5" s="17" t="inlineStr">
        <is>
          <t>［仮置き］</t>
        </is>
      </c>
      <c r="E5" s="7" t="inlineStr">
        <is>
          <t>2026年の水準</t>
        </is>
      </c>
    </row>
    <row r="6">
      <c r="A6" s="5" t="inlineStr">
        <is>
          <t>月あたり労働時間</t>
        </is>
      </c>
      <c r="B6" s="18" t="n">
        <v>168</v>
      </c>
      <c r="C6" s="16" t="inlineStr">
        <is>
          <t>時間</t>
        </is>
      </c>
      <c r="D6" s="16" t="inlineStr">
        <is>
          <t>前提</t>
        </is>
      </c>
      <c r="E6" s="7" t="inlineStr">
        <is>
          <t>21日 × 8時間</t>
        </is>
      </c>
    </row>
    <row r="7">
      <c r="A7" s="4" t="inlineStr">
        <is>
          <t>時給（雇用ベース）</t>
        </is>
      </c>
      <c r="B7" s="21">
        <f>B4*B5/B6</f>
        <v/>
      </c>
      <c r="C7" s="16" t="inlineStr">
        <is>
          <t>円</t>
        </is>
      </c>
      <c r="D7" s="16" t="inlineStr">
        <is>
          <t>計算</t>
        </is>
      </c>
      <c r="E7" s="7" t="inlineStr">
        <is>
          <t>＝ 月給 × 為替 ÷ 労働時間</t>
        </is>
      </c>
    </row>
    <row r="8">
      <c r="A8" s="5" t="inlineStr">
        <is>
          <t>フリーランス割増</t>
        </is>
      </c>
      <c r="B8" s="20" t="n">
        <v>1.4</v>
      </c>
      <c r="C8" s="16" t="inlineStr">
        <is>
          <t>倍</t>
        </is>
      </c>
      <c r="D8" s="17" t="inlineStr">
        <is>
          <t>［仮置き］</t>
        </is>
      </c>
      <c r="E8" s="7" t="inlineStr">
        <is>
          <t>社保なし・不安定・営業時間が無給の補償</t>
        </is>
      </c>
    </row>
    <row r="9">
      <c r="A9" s="4" t="inlineStr">
        <is>
          <t>受注の判断ライン</t>
        </is>
      </c>
      <c r="B9" s="22">
        <f>B7*B8</f>
        <v/>
      </c>
      <c r="C9" s="16" t="inlineStr">
        <is>
          <t>円/時</t>
        </is>
      </c>
      <c r="D9" s="16" t="inlineStr">
        <is>
          <t>計算</t>
        </is>
      </c>
      <c r="E9" s="7" t="inlineStr">
        <is>
          <t>これを下回ると誰も受けない</t>
        </is>
      </c>
    </row>
    <row r="10">
      <c r="A10" s="5" t="inlineStr">
        <is>
          <t>設計に使う時給（下限）</t>
        </is>
      </c>
      <c r="B10" s="18" t="n">
        <v>1600</v>
      </c>
      <c r="C10" s="16" t="inlineStr">
        <is>
          <t>円/時</t>
        </is>
      </c>
      <c r="D10" s="17" t="inlineStr">
        <is>
          <t>★</t>
        </is>
      </c>
      <c r="E10" s="7" t="inlineStr">
        <is>
          <t>判断ラインに余裕を見た額。③の価格下限に使う</t>
        </is>
      </c>
    </row>
    <row r="11">
      <c r="A11" s="5" t="inlineStr">
        <is>
          <t>設計に使う時給（上限）</t>
        </is>
      </c>
      <c r="B11" s="18" t="n">
        <v>3500</v>
      </c>
      <c r="C11" s="16" t="inlineStr">
        <is>
          <t>円/時</t>
        </is>
      </c>
      <c r="D11" s="17" t="inlineStr">
        <is>
          <t>★</t>
        </is>
      </c>
      <c r="E11" s="7" t="inlineStr">
        <is>
          <t>熟練クリエイター。月20,000元相当×割増</t>
        </is>
      </c>
    </row>
    <row r="13">
      <c r="A13" s="12" t="inlineStr">
        <is>
          <t>必要なクリエイター数 — ここが「なぜ中国か」の答え</t>
        </is>
      </c>
    </row>
    <row r="14" ht="24" customHeight="1">
      <c r="A14" s="3" t="inlineStr">
        <is>
          <t>項目</t>
        </is>
      </c>
      <c r="B14" s="3" t="inlineStr">
        <is>
          <t>値</t>
        </is>
      </c>
      <c r="C14" s="3" t="inlineStr">
        <is>
          <t>単位</t>
        </is>
      </c>
      <c r="D14" s="3" t="inlineStr"/>
      <c r="E14" s="3" t="inlineStr">
        <is>
          <t>考え方</t>
        </is>
      </c>
    </row>
    <row r="15">
      <c r="A15" s="5" t="inlineStr">
        <is>
          <t>③ に必要な年間工数</t>
        </is>
      </c>
      <c r="B15" s="23">
        <f>'商品マスタ③'!$I$23</f>
        <v/>
      </c>
      <c r="C15" s="16" t="inlineStr">
        <is>
          <t>時間</t>
        </is>
      </c>
      <c r="E15" s="7" t="inlineStr">
        <is>
          <t>商品別の平均工数 × 件数</t>
        </is>
      </c>
    </row>
    <row r="16">
      <c r="A16" s="5" t="inlineStr">
        <is>
          <t>① に必要な年間工数</t>
        </is>
      </c>
      <c r="B16" s="23">
        <f>'商品マスタ①'!$M$15*1000000/4000</f>
        <v/>
      </c>
      <c r="C16" s="16" t="inlineStr">
        <is>
          <t>時間</t>
        </is>
      </c>
      <c r="E16" s="7" t="inlineStr">
        <is>
          <t>クリエイター支払総額 ÷ 実効時給4,000円★</t>
        </is>
      </c>
    </row>
    <row r="17">
      <c r="A17" s="4" t="inlineStr">
        <is>
          <t>フル稼働換算</t>
        </is>
      </c>
      <c r="B17" s="6">
        <f>(B15+B16)/1800</f>
        <v/>
      </c>
      <c r="C17" s="16" t="inlineStr">
        <is>
          <t>人</t>
        </is>
      </c>
      <c r="E17" s="7" t="inlineStr">
        <is>
          <t>1人あたり年1,800時間★</t>
        </is>
      </c>
    </row>
    <row r="18">
      <c r="A18" s="4" t="inlineStr">
        <is>
          <t>登録ベース（2〜3倍）</t>
        </is>
      </c>
      <c r="B18" s="6">
        <f>B17*2.5</f>
        <v/>
      </c>
      <c r="C18" s="16" t="inlineStr">
        <is>
          <t>人</t>
        </is>
      </c>
      <c r="E18" s="7" t="inlineStr">
        <is>
          <t>全員が常時稼働はしない★</t>
        </is>
      </c>
    </row>
    <row r="19">
      <c r="A19" s="4" t="inlineStr">
        <is>
          <t>中国の母数（微短劇産業の直接就業者）</t>
        </is>
      </c>
      <c r="B19" s="18" t="n">
        <v>690000</v>
      </c>
      <c r="C19" s="16" t="inlineStr">
        <is>
          <t>人</t>
        </is>
      </c>
      <c r="E19" s="7" t="inlineStr">
        <is>
          <t>中国網絡視聴協会 2024。上下流を含めた波及は203万人</t>
        </is>
      </c>
    </row>
    <row r="20">
      <c r="A20" s="4" t="inlineStr">
        <is>
          <t>必要人数 ÷ 母数</t>
        </is>
      </c>
      <c r="B20" s="24">
        <f>B18/B19</f>
        <v/>
      </c>
    </row>
    <row r="22">
      <c r="A22" s="2" t="inlineStr">
        <is>
          <t>同じ人数を日本で、時給1,600〜3,500円で受ける映像クリエイターとして千人規模集めるのは成立しない。「人が集まるか」が問題にならない場所を選んだ、という設計。これは制約ではなく中国とやる理由。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34" customWidth="1" min="10" max="10"/>
  </cols>
  <sheetData>
    <row r="1">
      <c r="A1" s="1" t="inlineStr">
        <is>
          <t>③ のシステム原価を商品別に積む</t>
        </is>
      </c>
    </row>
    <row r="2">
      <c r="A2" s="2" t="inlineStr">
        <is>
          <t>以前ここは「120円/件」と置いていたが根拠がなかった。公表単価から積み直したもの。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出所</t>
        </is>
      </c>
    </row>
    <row r="4">
      <c r="A4" s="5" t="inlineStr">
        <is>
          <t>ストレージ</t>
        </is>
      </c>
      <c r="B4" s="20" t="n">
        <v>3.66</v>
      </c>
      <c r="C4" s="16" t="inlineStr">
        <is>
          <t>円/GB/月</t>
        </is>
      </c>
      <c r="J4" s="7" t="inlineStr">
        <is>
          <t>S3 Standard 東京（1TB/月 ≈ $25）</t>
        </is>
      </c>
    </row>
    <row r="5">
      <c r="A5" s="5" t="inlineStr">
        <is>
          <t>転送</t>
        </is>
      </c>
      <c r="B5" s="20" t="n">
        <v>12.75</v>
      </c>
      <c r="C5" s="16" t="inlineStr">
        <is>
          <t>円/GB</t>
        </is>
      </c>
      <c r="J5" s="7" t="inlineStr">
        <is>
          <t>CloudFront 東京（$0.085/GB・1ドル150円）</t>
        </is>
      </c>
    </row>
    <row r="6">
      <c r="A6" s="5" t="inlineStr">
        <is>
          <t>容量</t>
        </is>
      </c>
      <c r="B6" s="20" t="n">
        <v>60</v>
      </c>
      <c r="C6" s="16" t="inlineStr">
        <is>
          <t>MB/分</t>
        </is>
      </c>
      <c r="J6" s="7" t="inlineStr">
        <is>
          <t>★1080p H.264 約8Mbps</t>
        </is>
      </c>
    </row>
    <row r="7">
      <c r="A7" s="5" t="inlineStr">
        <is>
          <t>保管期間</t>
        </is>
      </c>
      <c r="B7" s="20" t="n">
        <v>3</v>
      </c>
      <c r="C7" s="16" t="inlineStr">
        <is>
          <t>ヶ月</t>
        </is>
      </c>
      <c r="J7" s="7" t="inlineStr">
        <is>
          <t>★検収後</t>
        </is>
      </c>
    </row>
    <row r="8">
      <c r="A8" s="5" t="inlineStr">
        <is>
          <t>版数</t>
        </is>
      </c>
      <c r="B8" s="20" t="n">
        <v>3</v>
      </c>
      <c r="C8" s="16" t="inlineStr">
        <is>
          <t>版</t>
        </is>
      </c>
      <c r="J8" s="7" t="inlineStr">
        <is>
          <t>★成果物＋中間版2本</t>
        </is>
      </c>
    </row>
    <row r="9">
      <c r="A9" s="5" t="inlineStr">
        <is>
          <t>転送倍率</t>
        </is>
      </c>
      <c r="B9" s="20" t="n">
        <v>4</v>
      </c>
      <c r="C9" s="16" t="inlineStr">
        <is>
          <t>倍</t>
        </is>
      </c>
      <c r="J9" s="7" t="inlineStr">
        <is>
          <t>★プレビュー＋ダウンロード</t>
        </is>
      </c>
    </row>
    <row r="10">
      <c r="A10" s="5" t="inlineStr">
        <is>
          <t>AI-bot</t>
        </is>
      </c>
      <c r="B10" s="20" t="n">
        <v>40.5</v>
      </c>
      <c r="C10" s="16" t="inlineStr">
        <is>
          <t>円/件</t>
        </is>
      </c>
      <c r="J10" s="7" t="inlineStr">
        <is>
          <t>★入力30,000＋出力12,000トークン。③-Cのみ</t>
        </is>
      </c>
    </row>
    <row r="11">
      <c r="A11" s="5" t="inlineStr">
        <is>
          <t>アプリ基盤</t>
        </is>
      </c>
      <c r="B11" s="20" t="n">
        <v>31.9</v>
      </c>
      <c r="C11" s="16" t="inlineStr">
        <is>
          <t>円/件</t>
        </is>
      </c>
      <c r="J11" s="7" t="inlineStr">
        <is>
          <t>★月30万円 ÷ 年113,000件</t>
        </is>
      </c>
    </row>
    <row r="13">
      <c r="A13" s="12" t="inlineStr">
        <is>
          <t>商品別</t>
        </is>
      </c>
    </row>
    <row r="14" ht="24" customHeight="1">
      <c r="A14" s="3" t="inlineStr">
        <is>
          <t>商品</t>
        </is>
      </c>
      <c r="B14" s="3" t="inlineStr">
        <is>
          <t>尺(分)</t>
        </is>
      </c>
      <c r="C14" s="3" t="inlineStr">
        <is>
          <t>容量MB</t>
        </is>
      </c>
      <c r="D14" s="3" t="inlineStr">
        <is>
          <t>ストレージ</t>
        </is>
      </c>
      <c r="E14" s="3" t="inlineStr">
        <is>
          <t>転送</t>
        </is>
      </c>
      <c r="F14" s="3" t="inlineStr">
        <is>
          <t>AI-bot</t>
        </is>
      </c>
      <c r="G14" s="3" t="inlineStr">
        <is>
          <t>基盤</t>
        </is>
      </c>
      <c r="H14" s="3" t="inlineStr">
        <is>
          <t>合計</t>
        </is>
      </c>
      <c r="I14" s="3" t="inlineStr">
        <is>
          <t>5期件数</t>
        </is>
      </c>
      <c r="J14" s="3" t="inlineStr"/>
    </row>
    <row r="15">
      <c r="A15" s="5" t="inlineStr">
        <is>
          <t>SNS用ショート</t>
        </is>
      </c>
      <c r="B15" s="25" t="n">
        <v>0.5</v>
      </c>
      <c r="C15" s="8">
        <f>B15*$B$6</f>
        <v/>
      </c>
      <c r="D15" s="11">
        <f>C15/1024*$B$8*$B$7*$B$4</f>
        <v/>
      </c>
      <c r="E15" s="11">
        <f>C15/1024*$B$9*$B$5</f>
        <v/>
      </c>
      <c r="F15" s="11" t="n">
        <v>0</v>
      </c>
      <c r="G15" s="11">
        <f>$B$11</f>
        <v/>
      </c>
      <c r="H15" s="26">
        <f>SUM(D15:G15)</f>
        <v/>
      </c>
      <c r="I15" s="8" t="n">
        <v>25000</v>
      </c>
    </row>
    <row r="16">
      <c r="A16" s="5" t="inlineStr">
        <is>
          <t>誕生日ムービー</t>
        </is>
      </c>
      <c r="B16" s="25" t="n">
        <v>2</v>
      </c>
      <c r="C16" s="8">
        <f>B16*$B$6</f>
        <v/>
      </c>
      <c r="D16" s="11">
        <f>C16/1024*$B$8*$B$7*$B$4</f>
        <v/>
      </c>
      <c r="E16" s="11">
        <f>C16/1024*$B$9*$B$5</f>
        <v/>
      </c>
      <c r="F16" s="11" t="n">
        <v>0</v>
      </c>
      <c r="G16" s="11">
        <f>$B$11</f>
        <v/>
      </c>
      <c r="H16" s="26">
        <f>SUM(D16:G16)</f>
        <v/>
      </c>
      <c r="I16" s="8" t="n">
        <v>12000</v>
      </c>
    </row>
    <row r="17">
      <c r="A17" s="5" t="inlineStr">
        <is>
          <t>記念日ムービー</t>
        </is>
      </c>
      <c r="B17" s="25" t="n">
        <v>2.5</v>
      </c>
      <c r="C17" s="8">
        <f>B17*$B$6</f>
        <v/>
      </c>
      <c r="D17" s="11">
        <f>C17/1024*$B$8*$B$7*$B$4</f>
        <v/>
      </c>
      <c r="E17" s="11">
        <f>C17/1024*$B$9*$B$5</f>
        <v/>
      </c>
      <c r="F17" s="11" t="n">
        <v>0</v>
      </c>
      <c r="G17" s="11">
        <f>$B$11</f>
        <v/>
      </c>
      <c r="H17" s="26">
        <f>SUM(D17:G17)</f>
        <v/>
      </c>
      <c r="I17" s="8" t="n">
        <v>8000</v>
      </c>
    </row>
    <row r="18">
      <c r="A18" s="5" t="inlineStr">
        <is>
          <t>イベント・余興ムービー</t>
        </is>
      </c>
      <c r="B18" s="25" t="n">
        <v>4</v>
      </c>
      <c r="C18" s="8">
        <f>B18*$B$6</f>
        <v/>
      </c>
      <c r="D18" s="11">
        <f>C18/1024*$B$8*$B$7*$B$4</f>
        <v/>
      </c>
      <c r="E18" s="11">
        <f>C18/1024*$B$9*$B$5</f>
        <v/>
      </c>
      <c r="F18" s="11" t="n">
        <v>0</v>
      </c>
      <c r="G18" s="11">
        <f>$B$11</f>
        <v/>
      </c>
      <c r="H18" s="26">
        <f>SUM(D18:G18)</f>
        <v/>
      </c>
      <c r="I18" s="8" t="n">
        <v>10000</v>
      </c>
    </row>
    <row r="19">
      <c r="A19" s="5" t="inlineStr">
        <is>
          <t>WEBサイト用</t>
        </is>
      </c>
      <c r="B19" s="25" t="n">
        <v>1.5</v>
      </c>
      <c r="C19" s="8">
        <f>B19*$B$6</f>
        <v/>
      </c>
      <c r="D19" s="11">
        <f>C19/1024*$B$8*$B$7*$B$4</f>
        <v/>
      </c>
      <c r="E19" s="11">
        <f>C19/1024*$B$9*$B$5</f>
        <v/>
      </c>
      <c r="F19" s="11" t="n">
        <v>0</v>
      </c>
      <c r="G19" s="11">
        <f>$B$11</f>
        <v/>
      </c>
      <c r="H19" s="26">
        <f>SUM(D19:G19)</f>
        <v/>
      </c>
      <c r="I19" s="8" t="n">
        <v>6000</v>
      </c>
    </row>
    <row r="20">
      <c r="A20" s="5" t="inlineStr">
        <is>
          <t>ウェディングムービー</t>
        </is>
      </c>
      <c r="B20" s="25" t="n">
        <v>12</v>
      </c>
      <c r="C20" s="8">
        <f>B20*$B$6</f>
        <v/>
      </c>
      <c r="D20" s="11">
        <f>C20/1024*$B$8*$B$7*$B$4</f>
        <v/>
      </c>
      <c r="E20" s="11">
        <f>C20/1024*$B$9*$B$5</f>
        <v/>
      </c>
      <c r="F20" s="11" t="n">
        <v>0</v>
      </c>
      <c r="G20" s="11">
        <f>$B$11</f>
        <v/>
      </c>
      <c r="H20" s="26">
        <f>SUM(D20:G20)</f>
        <v/>
      </c>
      <c r="I20" s="8" t="n">
        <v>9000</v>
      </c>
    </row>
    <row r="21">
      <c r="A21" s="5" t="inlineStr">
        <is>
          <t>会社紹介ショート</t>
        </is>
      </c>
      <c r="B21" s="25" t="n">
        <v>2</v>
      </c>
      <c r="C21" s="8">
        <f>B21*$B$6</f>
        <v/>
      </c>
      <c r="D21" s="11">
        <f>C21/1024*$B$8*$B$7*$B$4</f>
        <v/>
      </c>
      <c r="E21" s="11">
        <f>C21/1024*$B$9*$B$5</f>
        <v/>
      </c>
      <c r="F21" s="11" t="n">
        <v>0</v>
      </c>
      <c r="G21" s="11">
        <f>$B$11</f>
        <v/>
      </c>
      <c r="H21" s="26">
        <f>SUM(D21:G21)</f>
        <v/>
      </c>
      <c r="I21" s="8" t="n">
        <v>4000</v>
      </c>
    </row>
    <row r="22">
      <c r="A22" s="5" t="inlineStr">
        <is>
          <t>採用（小規模・1職種）</t>
        </is>
      </c>
      <c r="B22" s="25" t="n">
        <v>3</v>
      </c>
      <c r="C22" s="8">
        <f>B22*$B$6</f>
        <v/>
      </c>
      <c r="D22" s="11">
        <f>C22/1024*$B$8*$B$7*$B$4</f>
        <v/>
      </c>
      <c r="E22" s="11">
        <f>C22/1024*$B$9*$B$5</f>
        <v/>
      </c>
      <c r="F22" s="11" t="n">
        <v>0</v>
      </c>
      <c r="G22" s="11">
        <f>$B$11</f>
        <v/>
      </c>
      <c r="H22" s="26">
        <f>SUM(D22:G22)</f>
        <v/>
      </c>
      <c r="I22" s="8" t="n">
        <v>2500</v>
      </c>
    </row>
    <row r="23">
      <c r="A23" s="5" t="inlineStr">
        <is>
          <t>商品・サービス紹介</t>
        </is>
      </c>
      <c r="B23" s="25" t="n">
        <v>2</v>
      </c>
      <c r="C23" s="8">
        <f>B23*$B$6</f>
        <v/>
      </c>
      <c r="D23" s="11">
        <f>C23/1024*$B$8*$B$7*$B$4</f>
        <v/>
      </c>
      <c r="E23" s="11">
        <f>C23/1024*$B$9*$B$5</f>
        <v/>
      </c>
      <c r="F23" s="11" t="n">
        <v>0</v>
      </c>
      <c r="G23" s="11">
        <f>$B$11</f>
        <v/>
      </c>
      <c r="H23" s="26">
        <f>SUM(D23:G23)</f>
        <v/>
      </c>
      <c r="I23" s="8" t="n">
        <v>5000</v>
      </c>
    </row>
    <row r="24">
      <c r="A24" s="5" t="inlineStr">
        <is>
          <t>店舗・施設紹介</t>
        </is>
      </c>
      <c r="B24" s="25" t="n">
        <v>1.5</v>
      </c>
      <c r="C24" s="8">
        <f>B24*$B$6</f>
        <v/>
      </c>
      <c r="D24" s="11">
        <f>C24/1024*$B$8*$B$7*$B$4</f>
        <v/>
      </c>
      <c r="E24" s="11">
        <f>C24/1024*$B$9*$B$5</f>
        <v/>
      </c>
      <c r="F24" s="11" t="n">
        <v>0</v>
      </c>
      <c r="G24" s="11">
        <f>$B$11</f>
        <v/>
      </c>
      <c r="H24" s="26">
        <f>SUM(D24:G24)</f>
        <v/>
      </c>
      <c r="I24" s="8" t="n">
        <v>3500</v>
      </c>
    </row>
    <row r="25">
      <c r="A25" s="5" t="inlineStr">
        <is>
          <t>展示会・イベント告知</t>
        </is>
      </c>
      <c r="B25" s="25" t="n">
        <v>2</v>
      </c>
      <c r="C25" s="8">
        <f>B25*$B$6</f>
        <v/>
      </c>
      <c r="D25" s="11">
        <f>C25/1024*$B$8*$B$7*$B$4</f>
        <v/>
      </c>
      <c r="E25" s="11">
        <f>C25/1024*$B$9*$B$5</f>
        <v/>
      </c>
      <c r="F25" s="11" t="n">
        <v>0</v>
      </c>
      <c r="G25" s="11">
        <f>$B$11</f>
        <v/>
      </c>
      <c r="H25" s="26">
        <f>SUM(D25:G25)</f>
        <v/>
      </c>
      <c r="I25" s="8" t="n">
        <v>2000</v>
      </c>
    </row>
    <row r="26">
      <c r="A26" s="5" t="inlineStr">
        <is>
          <t>SNS広告用（縦型3本）</t>
        </is>
      </c>
      <c r="B26" s="25" t="n">
        <v>1.5</v>
      </c>
      <c r="C26" s="8">
        <f>B26*$B$6</f>
        <v/>
      </c>
      <c r="D26" s="11">
        <f>C26/1024*$B$8*$B$7*$B$4</f>
        <v/>
      </c>
      <c r="E26" s="11">
        <f>C26/1024*$B$9*$B$5</f>
        <v/>
      </c>
      <c r="F26" s="11" t="n">
        <v>0</v>
      </c>
      <c r="G26" s="11">
        <f>$B$11</f>
        <v/>
      </c>
      <c r="H26" s="26">
        <f>SUM(D26:G26)</f>
        <v/>
      </c>
      <c r="I26" s="8" t="n">
        <v>6000</v>
      </c>
    </row>
    <row r="27">
      <c r="A27" s="5" t="inlineStr">
        <is>
          <t>個人オーダーメイド</t>
        </is>
      </c>
      <c r="B27" s="25" t="n">
        <v>3</v>
      </c>
      <c r="C27" s="8">
        <f>B27*$B$6</f>
        <v/>
      </c>
      <c r="D27" s="11">
        <f>C27/1024*$B$8*$B$7*$B$4</f>
        <v/>
      </c>
      <c r="E27" s="11">
        <f>C27/1024*$B$9*$B$5</f>
        <v/>
      </c>
      <c r="F27" s="11">
        <f>$B$10</f>
        <v/>
      </c>
      <c r="G27" s="11">
        <f>$B$11</f>
        <v/>
      </c>
      <c r="H27" s="26">
        <f>SUM(D27:G27)</f>
        <v/>
      </c>
      <c r="I27" s="8" t="n">
        <v>8000</v>
      </c>
    </row>
    <row r="28">
      <c r="A28" s="5" t="inlineStr">
        <is>
          <t>企業オーダーメイド</t>
        </is>
      </c>
      <c r="B28" s="25" t="n">
        <v>4</v>
      </c>
      <c r="C28" s="8">
        <f>B28*$B$6</f>
        <v/>
      </c>
      <c r="D28" s="11">
        <f>C28/1024*$B$8*$B$7*$B$4</f>
        <v/>
      </c>
      <c r="E28" s="11">
        <f>C28/1024*$B$9*$B$5</f>
        <v/>
      </c>
      <c r="F28" s="11">
        <f>$B$10</f>
        <v/>
      </c>
      <c r="G28" s="11">
        <f>$B$11</f>
        <v/>
      </c>
      <c r="H28" s="26">
        <f>SUM(D28:G28)</f>
        <v/>
      </c>
      <c r="I28" s="8" t="n">
        <v>12000</v>
      </c>
    </row>
    <row r="29">
      <c r="A29" s="4" t="inlineStr">
        <is>
          <t>加重平均（円/件）</t>
        </is>
      </c>
      <c r="H29" s="27">
        <f>SUMPRODUCT(H15:H28,I15:I28)/SUM(I15:I28)</f>
        <v/>
      </c>
    </row>
    <row r="31">
      <c r="A31" s="2" t="inlineStr">
        <is>
          <t>尺が長いものほど重く、AI-botは③-Cだけに乗る。安い商品ほど手数料に占める割合が大きい。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24" customWidth="1" min="15" max="15"/>
  </cols>
  <sheetData>
    <row r="1">
      <c r="A1" s="1" t="inlineStr">
        <is>
          <t>① 映像制作 — 商品別</t>
        </is>
      </c>
    </row>
    <row r="2">
      <c r="A2" s="2" t="inlineStr">
        <is>
          <t>当社価格は「企業の現行支払 × (1−値引率)」。顧客が浮かせる額がそのまま提案の中身になる。平均単価と平均難度は構成比から導出される。</t>
        </is>
      </c>
    </row>
    <row r="3" ht="24" customHeight="1">
      <c r="A3" s="3" t="inlineStr">
        <is>
          <t>商品</t>
        </is>
      </c>
      <c r="B3" s="3" t="inlineStr">
        <is>
          <t>現行支払</t>
        </is>
      </c>
      <c r="C3" s="3" t="inlineStr">
        <is>
          <t>値引率</t>
        </is>
      </c>
      <c r="D3" s="3" t="inlineStr">
        <is>
          <t>当社単価</t>
        </is>
      </c>
      <c r="E3" s="3" t="inlineStr">
        <is>
          <t>顧客削減</t>
        </is>
      </c>
      <c r="F3" s="3" t="inlineStr">
        <is>
          <t>難度</t>
        </is>
      </c>
      <c r="G3" s="3" t="inlineStr">
        <is>
          <t>原価@AX4</t>
        </is>
      </c>
      <c r="H3" s="3" t="inlineStr">
        <is>
          <t>粗利率</t>
        </is>
      </c>
      <c r="I3" s="3" t="inlineStr">
        <is>
          <t>構成比 1期</t>
        </is>
      </c>
      <c r="J3" s="3" t="inlineStr">
        <is>
          <t>構成比 2期</t>
        </is>
      </c>
      <c r="K3" s="3" t="inlineStr">
        <is>
          <t>構成比 3期</t>
        </is>
      </c>
      <c r="L3" s="3" t="inlineStr">
        <is>
          <t>構成比 4期</t>
        </is>
      </c>
      <c r="M3" s="3" t="inlineStr">
        <is>
          <t>構成比 5期</t>
        </is>
      </c>
      <c r="N3" s="3" t="inlineStr">
        <is>
          <t>主な販路</t>
        </is>
      </c>
    </row>
    <row r="4">
      <c r="A4" s="5" t="inlineStr">
        <is>
          <t>ブランドムービー・Web CM</t>
        </is>
      </c>
      <c r="B4" s="18" t="n">
        <v>500</v>
      </c>
      <c r="C4" s="19" t="n">
        <v>0.5</v>
      </c>
      <c r="D4" s="28">
        <f>B4*(1-C4)</f>
        <v/>
      </c>
      <c r="E4" s="29">
        <f>B4-D4</f>
        <v/>
      </c>
      <c r="F4" s="20" t="n">
        <v>3</v>
      </c>
      <c r="G4" s="29">
        <f>F4*('前提'!$G$5+'前提'!$G$6/'前提'!$G$4+'前提'!$G$7+'前提'!$G$8)</f>
        <v/>
      </c>
      <c r="H4" s="10">
        <f>1-G4/D4</f>
        <v/>
      </c>
      <c r="I4" s="19" t="n">
        <v>0.04</v>
      </c>
      <c r="J4" s="19" t="n">
        <v>0.08</v>
      </c>
      <c r="K4" s="19" t="n">
        <v>0.12</v>
      </c>
      <c r="L4" s="19" t="n">
        <v>0.13</v>
      </c>
      <c r="M4" s="19" t="n">
        <v>0.15</v>
      </c>
      <c r="N4" s="7" t="inlineStr">
        <is>
          <t>直販</t>
        </is>
      </c>
    </row>
    <row r="5">
      <c r="A5" s="5" t="inlineStr">
        <is>
          <t>企業VP・採用（ブランド型）</t>
        </is>
      </c>
      <c r="B5" s="18" t="n">
        <v>200</v>
      </c>
      <c r="C5" s="19" t="n">
        <v>0.5</v>
      </c>
      <c r="D5" s="28">
        <f>B5*(1-C5)</f>
        <v/>
      </c>
      <c r="E5" s="29">
        <f>B5-D5</f>
        <v/>
      </c>
      <c r="F5" s="20" t="n">
        <v>1.8</v>
      </c>
      <c r="G5" s="29">
        <f>F5*('前提'!$G$5+'前提'!$G$6/'前提'!$G$4+'前提'!$G$7+'前提'!$G$8)</f>
        <v/>
      </c>
      <c r="H5" s="10">
        <f>1-G5/D5</f>
        <v/>
      </c>
      <c r="I5" s="19" t="n">
        <v>0.25</v>
      </c>
      <c r="J5" s="19" t="n">
        <v>0.28</v>
      </c>
      <c r="K5" s="19" t="n">
        <v>0.31</v>
      </c>
      <c r="L5" s="19" t="n">
        <v>0.34</v>
      </c>
      <c r="M5" s="19" t="n">
        <v>0.35</v>
      </c>
      <c r="N5" s="7" t="inlineStr">
        <is>
          <t>直販・代理店</t>
        </is>
      </c>
    </row>
    <row r="6">
      <c r="A6" s="5" t="inlineStr">
        <is>
          <t>企業VP・会社紹介（標準）</t>
        </is>
      </c>
      <c r="B6" s="18" t="n">
        <v>100</v>
      </c>
      <c r="C6" s="19" t="n">
        <v>0.5</v>
      </c>
      <c r="D6" s="28">
        <f>B6*(1-C6)</f>
        <v/>
      </c>
      <c r="E6" s="29">
        <f>B6-D6</f>
        <v/>
      </c>
      <c r="F6" s="20" t="n">
        <v>1</v>
      </c>
      <c r="G6" s="29">
        <f>F6*('前提'!$G$5+'前提'!$G$6/'前提'!$G$4+'前提'!$G$7+'前提'!$G$8)</f>
        <v/>
      </c>
      <c r="H6" s="10">
        <f>1-G6/D6</f>
        <v/>
      </c>
      <c r="I6" s="19" t="n">
        <v>0.46</v>
      </c>
      <c r="J6" s="19" t="n">
        <v>0.42</v>
      </c>
      <c r="K6" s="19" t="n">
        <v>0.38</v>
      </c>
      <c r="L6" s="19" t="n">
        <v>0.36</v>
      </c>
      <c r="M6" s="19" t="n">
        <v>0.35</v>
      </c>
      <c r="N6" s="7" t="inlineStr">
        <is>
          <t>代理店・インバウンド</t>
        </is>
      </c>
    </row>
    <row r="7">
      <c r="A7" s="5" t="inlineStr">
        <is>
          <t>展示会・社内イベント映像</t>
        </is>
      </c>
      <c r="B7" s="18" t="n">
        <v>60</v>
      </c>
      <c r="C7" s="19" t="n">
        <v>0.5</v>
      </c>
      <c r="D7" s="28">
        <f>B7*(1-C7)</f>
        <v/>
      </c>
      <c r="E7" s="29">
        <f>B7-D7</f>
        <v/>
      </c>
      <c r="F7" s="20" t="n">
        <v>0.8</v>
      </c>
      <c r="G7" s="29">
        <f>F7*('前提'!$G$5+'前提'!$G$6/'前提'!$G$4+'前提'!$G$7+'前提'!$G$8)</f>
        <v/>
      </c>
      <c r="H7" s="10">
        <f>1-G7/D7</f>
        <v/>
      </c>
      <c r="I7" s="19" t="n">
        <v>0.25</v>
      </c>
      <c r="J7" s="19" t="n">
        <v>0.22</v>
      </c>
      <c r="K7" s="19" t="n">
        <v>0.19</v>
      </c>
      <c r="L7" s="19" t="n">
        <v>0.17</v>
      </c>
      <c r="M7" s="19" t="n">
        <v>0.15</v>
      </c>
      <c r="N7" s="7" t="inlineStr">
        <is>
          <t>制作会社経由</t>
        </is>
      </c>
    </row>
    <row r="8">
      <c r="A8" s="4" t="inlineStr">
        <is>
          <t>構成比 合計</t>
        </is>
      </c>
      <c r="I8" s="30">
        <f>SUM(I4:I7)</f>
        <v/>
      </c>
      <c r="J8" s="30">
        <f>SUM(J4:J7)</f>
        <v/>
      </c>
      <c r="K8" s="30">
        <f>SUM(K4:K7)</f>
        <v/>
      </c>
      <c r="L8" s="30">
        <f>SUM(L4:L7)</f>
        <v/>
      </c>
      <c r="M8" s="30">
        <f>SUM(M4:M7)</f>
        <v/>
      </c>
    </row>
    <row r="9">
      <c r="A9" s="4" t="inlineStr">
        <is>
          <t>平均単価（万円）</t>
        </is>
      </c>
      <c r="I9" s="31">
        <f>SUMPRODUCT($D$4:$D$7,I4:I7)</f>
        <v/>
      </c>
      <c r="J9" s="31">
        <f>SUMPRODUCT($D$4:$D$7,J4:J7)</f>
        <v/>
      </c>
      <c r="K9" s="31">
        <f>SUMPRODUCT($D$4:$D$7,K4:K7)</f>
        <v/>
      </c>
      <c r="L9" s="31">
        <f>SUMPRODUCT($D$4:$D$7,L4:L7)</f>
        <v/>
      </c>
      <c r="M9" s="31">
        <f>SUMPRODUCT($D$4:$D$7,M4:M7)</f>
        <v/>
      </c>
    </row>
    <row r="10">
      <c r="A10" s="4" t="inlineStr">
        <is>
          <t>平均難度係数</t>
        </is>
      </c>
      <c r="I10" s="32">
        <f>SUMPRODUCT($F$4:$F$7,I4:I7)</f>
        <v/>
      </c>
      <c r="J10" s="32">
        <f>SUMPRODUCT($F$4:$F$7,J4:J7)</f>
        <v/>
      </c>
      <c r="K10" s="32">
        <f>SUMPRODUCT($F$4:$F$7,K4:K7)</f>
        <v/>
      </c>
      <c r="L10" s="32">
        <f>SUMPRODUCT($F$4:$F$7,L4:L7)</f>
        <v/>
      </c>
      <c r="M10" s="32">
        <f>SUMPRODUCT($F$4:$F$7,M4:M7)</f>
        <v/>
      </c>
    </row>
    <row r="11">
      <c r="A11" s="4" t="inlineStr">
        <is>
          <t>1本あたり原価（万円）</t>
        </is>
      </c>
      <c r="I11" s="33">
        <f>I10*('前提'!$C$5+'前提'!$C$6/'前提'!$C$4+'前提'!$C$7+'前提'!$C$8)</f>
        <v/>
      </c>
      <c r="J11" s="33">
        <f>J10*('前提'!$D$5+'前提'!$D$6/'前提'!$D$4+'前提'!$D$7+'前提'!$D$8)</f>
        <v/>
      </c>
      <c r="K11" s="33">
        <f>K10*('前提'!$E$5+'前提'!$E$6/'前提'!$E$4+'前提'!$E$7+'前提'!$E$8)</f>
        <v/>
      </c>
      <c r="L11" s="33">
        <f>L10*('前提'!$F$5+'前提'!$F$6/'前提'!$F$4+'前提'!$F$7+'前提'!$F$8)</f>
        <v/>
      </c>
      <c r="M11" s="33">
        <f>M10*('前提'!$G$5+'前提'!$G$6/'前提'!$G$4+'前提'!$G$7+'前提'!$G$8)</f>
        <v/>
      </c>
    </row>
    <row r="12">
      <c r="A12" s="4" t="inlineStr">
        <is>
          <t>受注本数（営業体制シート）</t>
        </is>
      </c>
      <c r="I12" s="23">
        <f>'営業体制'!C$19</f>
        <v/>
      </c>
      <c r="J12" s="23">
        <f>'営業体制'!D$19</f>
        <v/>
      </c>
      <c r="K12" s="23">
        <f>'営業体制'!E$19</f>
        <v/>
      </c>
      <c r="L12" s="23">
        <f>'営業体制'!F$19</f>
        <v/>
      </c>
      <c r="M12" s="23">
        <f>'営業体制'!G$19</f>
        <v/>
      </c>
    </row>
    <row r="13">
      <c r="A13" s="4" t="inlineStr">
        <is>
          <t>① 売上（百万円）</t>
        </is>
      </c>
      <c r="I13" s="6">
        <f>I12*I9/100</f>
        <v/>
      </c>
      <c r="J13" s="6">
        <f>J12*J9/100</f>
        <v/>
      </c>
      <c r="K13" s="6">
        <f>K12*K9/100</f>
        <v/>
      </c>
      <c r="L13" s="6">
        <f>L12*L9/100</f>
        <v/>
      </c>
      <c r="M13" s="6">
        <f>M12*M9/100</f>
        <v/>
      </c>
    </row>
    <row r="14">
      <c r="A14" s="4" t="inlineStr">
        <is>
          <t>顧客が浮かせる額（百万円）</t>
        </is>
      </c>
      <c r="I14" s="23">
        <f>I12*SUMPRODUCT($E$4:$E$7,I4:I7)/100</f>
        <v/>
      </c>
      <c r="J14" s="23">
        <f>J12*SUMPRODUCT($E$4:$E$7,J4:J7)/100</f>
        <v/>
      </c>
      <c r="K14" s="23">
        <f>K12*SUMPRODUCT($E$4:$E$7,K4:K7)/100</f>
        <v/>
      </c>
      <c r="L14" s="23">
        <f>L12*SUMPRODUCT($E$4:$E$7,L4:L7)/100</f>
        <v/>
      </c>
      <c r="M14" s="23">
        <f>M12*SUMPRODUCT($E$4:$E$7,M4:M7)/100</f>
        <v/>
      </c>
    </row>
    <row r="15">
      <c r="A15" s="4" t="inlineStr">
        <is>
          <t>クリエイター支払総額（百万円）</t>
        </is>
      </c>
      <c r="I15" s="23">
        <f>I12*I10*'前提'!$C$5/100</f>
        <v/>
      </c>
      <c r="J15" s="23">
        <f>J12*J10*'前提'!$D$5/100</f>
        <v/>
      </c>
      <c r="K15" s="23">
        <f>K12*K10*'前提'!$E$5/100</f>
        <v/>
      </c>
      <c r="L15" s="23">
        <f>L12*L10*'前提'!$F$5/100</f>
        <v/>
      </c>
      <c r="M15" s="23">
        <f>M12*M10*'前提'!$G$5/100</f>
        <v/>
      </c>
    </row>
    <row r="17">
      <c r="A17" s="12" t="inlineStr">
        <is>
          <t>ACV / ARR — ①は案件ベースなので、そのままではARRにならない</t>
        </is>
      </c>
    </row>
    <row r="18" ht="24" customHeight="1">
      <c r="A18" s="3" t="inlineStr">
        <is>
          <t>項目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1期</t>
        </is>
      </c>
      <c r="J18" s="3" t="inlineStr">
        <is>
          <t>2期</t>
        </is>
      </c>
      <c r="K18" s="3" t="inlineStr">
        <is>
          <t>3期</t>
        </is>
      </c>
      <c r="L18" s="3" t="inlineStr">
        <is>
          <t>4期</t>
        </is>
      </c>
      <c r="M18" s="3" t="inlineStr">
        <is>
          <t>5期</t>
        </is>
      </c>
      <c r="N18" s="3" t="inlineStr">
        <is>
          <t>考え方</t>
        </is>
      </c>
    </row>
    <row r="19">
      <c r="A19" s="5" t="inlineStr">
        <is>
          <t>取引アカウント数</t>
        </is>
      </c>
      <c r="I19" s="23">
        <f>'営業体制'!C22</f>
        <v/>
      </c>
      <c r="J19" s="23">
        <f>'営業体制'!D22</f>
        <v/>
      </c>
      <c r="K19" s="23">
        <f>'営業体制'!E22</f>
        <v/>
      </c>
      <c r="L19" s="23">
        <f>'営業体制'!F22</f>
        <v/>
      </c>
      <c r="M19" s="23">
        <f>'営業体制'!G22</f>
        <v/>
      </c>
      <c r="N19" s="7" t="inlineStr">
        <is>
          <t>営業体制シート</t>
        </is>
      </c>
    </row>
    <row r="20">
      <c r="A20" s="5" t="inlineStr">
        <is>
          <t>アカウントあたり年間取引額（万円）</t>
        </is>
      </c>
      <c r="I20" s="23">
        <f>IF(I19=0,0,I13*100/I19)</f>
        <v/>
      </c>
      <c r="J20" s="23">
        <f>IF(J19=0,0,J13*100/J19)</f>
        <v/>
      </c>
      <c r="K20" s="23">
        <f>IF(K19=0,0,K13*100/K19)</f>
        <v/>
      </c>
      <c r="L20" s="23">
        <f>IF(L19=0,0,L13*100/L19)</f>
        <v/>
      </c>
      <c r="M20" s="23">
        <f>IF(M19=0,0,M13*100/M19)</f>
        <v/>
      </c>
      <c r="N20" s="7" t="inlineStr">
        <is>
          <t>ACV相当。ただし契約ではなく案件の集まり</t>
        </is>
      </c>
    </row>
    <row r="21">
      <c r="A21" s="4" t="inlineStr">
        <is>
          <t>① ARR（百万円）</t>
        </is>
      </c>
      <c r="I21" s="6">
        <f>I13*$B$22</f>
        <v/>
      </c>
      <c r="J21" s="6">
        <f>J13*$B$22</f>
        <v/>
      </c>
      <c r="K21" s="6">
        <f>K13*$B$22</f>
        <v/>
      </c>
      <c r="L21" s="6">
        <f>L13*$B$22</f>
        <v/>
      </c>
      <c r="M21" s="6">
        <f>M13*$B$22</f>
        <v/>
      </c>
      <c r="N21" s="7" t="inlineStr">
        <is>
          <t>リテイナー契約分のみ。スポット受注はARRではない</t>
        </is>
      </c>
    </row>
    <row r="22">
      <c r="A22" s="4" t="inlineStr">
        <is>
          <t>年間リテイナー契約の比率</t>
        </is>
      </c>
      <c r="B22" s="19" t="n">
        <v>0</v>
      </c>
      <c r="N22" s="7" t="inlineStr">
        <is>
          <t>★「年◯本でいくら」の包括契約にした分だけARRに入る。いまは0</t>
        </is>
      </c>
    </row>
    <row r="23">
      <c r="A23" s="5" t="inlineStr">
        <is>
          <t>① 非継続（百万円）</t>
        </is>
      </c>
      <c r="I23" s="23">
        <f>I13-I21</f>
        <v/>
      </c>
      <c r="J23" s="23">
        <f>J13-J21</f>
        <v/>
      </c>
      <c r="K23" s="23">
        <f>K13-K21</f>
        <v/>
      </c>
      <c r="L23" s="23">
        <f>L13-L21</f>
        <v/>
      </c>
      <c r="M23" s="23">
        <f>M13-M21</f>
        <v/>
      </c>
      <c r="N23" s="7" t="inlineStr">
        <is>
          <t>案件ごとの発注。毎年の継続は保証されない</t>
        </is>
      </c>
    </row>
    <row r="25">
      <c r="A25" s="2" t="inlineStr">
        <is>
          <t>①は1本ごとの発注で、翌年も同じ社が同じ本数を出す義務はない。だから「1社あたり年567万」はACV相当ではあってもARRではない。年間包括（リテイナー）契約を商品として作れば、その分はARRに算入できる。★要判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</cols>
  <sheetData>
    <row r="1">
      <c r="A1" s="1" t="inlineStr">
        <is>
          <t>① の受注本数を、営業体制から積む</t>
        </is>
      </c>
    </row>
    <row r="2">
      <c r="A2" s="2" t="inlineStr">
        <is>
          <t>市場シェアは結果であって計画の根拠にはならない。単位は「本」ではなく「アカウント」。企業は年に何本も出すので、取引社数 × 1社あたり本数で積む。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4" t="inlineStr">
        <is>
          <t>1 直販</t>
        </is>
      </c>
      <c r="B4" s="5" t="inlineStr"/>
    </row>
    <row r="5">
      <c r="A5" s="5" t="inlineStr">
        <is>
          <t xml:space="preserve">　事業開発（名）</t>
        </is>
      </c>
      <c r="B5" s="5" t="inlineStr"/>
      <c r="C5" s="18" t="n">
        <v>1</v>
      </c>
      <c r="D5" s="18" t="n">
        <v>2</v>
      </c>
      <c r="E5" s="18" t="n">
        <v>4</v>
      </c>
      <c r="F5" s="18" t="n">
        <v>5</v>
      </c>
      <c r="G5" s="18" t="n">
        <v>6</v>
      </c>
      <c r="H5" s="7" t="inlineStr">
        <is>
          <t>人員計画シートと同じ</t>
        </is>
      </c>
    </row>
    <row r="6">
      <c r="A6" s="5" t="inlineStr">
        <is>
          <t xml:space="preserve">　1名あたり担当社数</t>
        </is>
      </c>
      <c r="B6" s="5" t="inlineStr"/>
      <c r="C6" s="18" t="n">
        <v>15</v>
      </c>
      <c r="D6" s="18" t="n">
        <v>25</v>
      </c>
      <c r="E6" s="18" t="n">
        <v>35</v>
      </c>
      <c r="F6" s="18" t="n">
        <v>40</v>
      </c>
      <c r="G6" s="18" t="n">
        <v>40</v>
      </c>
      <c r="H6" s="7" t="inlineStr">
        <is>
          <t>★エンタープライズ営業の標準的な担当数</t>
        </is>
      </c>
    </row>
    <row r="7">
      <c r="A7" s="5" t="inlineStr">
        <is>
          <t xml:space="preserve">　1社あたり年間本数</t>
        </is>
      </c>
      <c r="B7" s="5" t="inlineStr"/>
      <c r="C7" s="18" t="n">
        <v>4</v>
      </c>
      <c r="D7" s="18" t="n">
        <v>5</v>
      </c>
      <c r="E7" s="18" t="n">
        <v>6</v>
      </c>
      <c r="F7" s="18" t="n">
        <v>6</v>
      </c>
      <c r="G7" s="18" t="n">
        <v>6</v>
      </c>
      <c r="H7" s="7" t="inlineStr">
        <is>
          <t>★採用・展示会・製品・IRで年6本</t>
        </is>
      </c>
    </row>
    <row r="8">
      <c r="A8" s="4" t="inlineStr">
        <is>
          <t xml:space="preserve">　小計（本）</t>
        </is>
      </c>
      <c r="B8" s="5" t="inlineStr"/>
      <c r="C8" s="21">
        <f>C5*C6*C7</f>
        <v/>
      </c>
      <c r="D8" s="21">
        <f>D5*D6*D7</f>
        <v/>
      </c>
      <c r="E8" s="21">
        <f>E5*E6*E7</f>
        <v/>
      </c>
      <c r="F8" s="21">
        <f>F5*F6*F7</f>
        <v/>
      </c>
      <c r="G8" s="21">
        <f>G5*G6*G7</f>
        <v/>
      </c>
    </row>
    <row r="9">
      <c r="A9" s="4" t="inlineStr">
        <is>
          <t>2 制作会社経由</t>
        </is>
      </c>
      <c r="B9" s="5" t="inlineStr"/>
    </row>
    <row r="10">
      <c r="A10" s="4" t="inlineStr">
        <is>
          <t xml:space="preserve">　②の法人契約数</t>
        </is>
      </c>
      <c r="B10" s="5" t="inlineStr"/>
      <c r="C10" s="21">
        <f>'商品マスタ②'!C19</f>
        <v/>
      </c>
      <c r="D10" s="21">
        <f>'商品マスタ②'!D19</f>
        <v/>
      </c>
      <c r="E10" s="21">
        <f>'商品マスタ②'!E19</f>
        <v/>
      </c>
      <c r="F10" s="21">
        <f>'商品マスタ②'!F19</f>
        <v/>
      </c>
      <c r="G10" s="21">
        <f>'商品マスタ②'!G19</f>
        <v/>
      </c>
      <c r="H10" s="7" t="inlineStr">
        <is>
          <t>②を売ることが①の営業になっている</t>
        </is>
      </c>
    </row>
    <row r="11">
      <c r="A11" s="5" t="inlineStr">
        <is>
          <t xml:space="preserve">　うち発注もする割合</t>
        </is>
      </c>
      <c r="B11" s="5" t="inlineStr"/>
      <c r="C11" s="19" t="n">
        <v>0</v>
      </c>
      <c r="D11" s="19" t="n">
        <v>0.2</v>
      </c>
      <c r="E11" s="19" t="n">
        <v>0.25</v>
      </c>
      <c r="F11" s="19" t="n">
        <v>0.3</v>
      </c>
      <c r="G11" s="19" t="n">
        <v>0.3</v>
      </c>
      <c r="H11" s="7" t="inlineStr">
        <is>
          <t>★手に余る案件を当社に流す</t>
        </is>
      </c>
    </row>
    <row r="12">
      <c r="A12" s="5" t="inlineStr">
        <is>
          <t xml:space="preserve">　1社あたり年間本数</t>
        </is>
      </c>
      <c r="B12" s="5" t="inlineStr"/>
      <c r="C12" s="18" t="n">
        <v>0</v>
      </c>
      <c r="D12" s="18" t="n">
        <v>6</v>
      </c>
      <c r="E12" s="18" t="n">
        <v>7</v>
      </c>
      <c r="F12" s="18" t="n">
        <v>8</v>
      </c>
      <c r="G12" s="18" t="n">
        <v>8</v>
      </c>
      <c r="H12" s="7" t="inlineStr">
        <is>
          <t>★</t>
        </is>
      </c>
    </row>
    <row r="13">
      <c r="A13" s="4" t="inlineStr">
        <is>
          <t xml:space="preserve">　小計（本）</t>
        </is>
      </c>
      <c r="B13" s="5" t="inlineStr"/>
      <c r="C13" s="21">
        <f>ROUND(C10*C11*C12,0)</f>
        <v/>
      </c>
      <c r="D13" s="21">
        <f>ROUND(D10*D11*D12,0)</f>
        <v/>
      </c>
      <c r="E13" s="21">
        <f>ROUND(E10*E11*E12,0)</f>
        <v/>
      </c>
      <c r="F13" s="21">
        <f>ROUND(F10*F11*F12,0)</f>
        <v/>
      </c>
      <c r="G13" s="21">
        <f>ROUND(G10*G11*G12,0)</f>
        <v/>
      </c>
    </row>
    <row r="14">
      <c r="A14" s="4" t="inlineStr">
        <is>
          <t>3 代理店経由</t>
        </is>
      </c>
      <c r="B14" s="5" t="inlineStr"/>
    </row>
    <row r="15">
      <c r="A15" s="5" t="inlineStr">
        <is>
          <t xml:space="preserve">　提携代理店数</t>
        </is>
      </c>
      <c r="B15" s="5" t="inlineStr"/>
      <c r="C15" s="18" t="n">
        <v>0</v>
      </c>
      <c r="D15" s="18" t="n">
        <v>2</v>
      </c>
      <c r="E15" s="18" t="n">
        <v>10</v>
      </c>
      <c r="F15" s="18" t="n">
        <v>25</v>
      </c>
      <c r="G15" s="18" t="n">
        <v>40</v>
      </c>
      <c r="H15" s="7" t="inlineStr">
        <is>
          <t>★広告代理店・人材会社</t>
        </is>
      </c>
    </row>
    <row r="16">
      <c r="A16" s="5" t="inlineStr">
        <is>
          <t xml:space="preserve">　1社あたり年間本数</t>
        </is>
      </c>
      <c r="B16" s="5" t="inlineStr"/>
      <c r="C16" s="18" t="n">
        <v>0</v>
      </c>
      <c r="D16" s="18" t="n">
        <v>8</v>
      </c>
      <c r="E16" s="18" t="n">
        <v>12</v>
      </c>
      <c r="F16" s="18" t="n">
        <v>15</v>
      </c>
      <c r="G16" s="18" t="n">
        <v>15</v>
      </c>
      <c r="H16" s="7" t="inlineStr">
        <is>
          <t>★</t>
        </is>
      </c>
    </row>
    <row r="17">
      <c r="A17" s="4" t="inlineStr">
        <is>
          <t xml:space="preserve">　小計（本）</t>
        </is>
      </c>
      <c r="B17" s="5" t="inlineStr"/>
      <c r="C17" s="21">
        <f>C15*C16</f>
        <v/>
      </c>
      <c r="D17" s="21">
        <f>D15*D16</f>
        <v/>
      </c>
      <c r="E17" s="21">
        <f>E15*E16</f>
        <v/>
      </c>
      <c r="F17" s="21">
        <f>F15*F16</f>
        <v/>
      </c>
      <c r="G17" s="21">
        <f>G15*G16</f>
        <v/>
      </c>
    </row>
    <row r="18">
      <c r="A18" s="5" t="inlineStr">
        <is>
          <t>4 インバウンド（本）</t>
        </is>
      </c>
      <c r="B18" s="5" t="inlineStr"/>
      <c r="C18" s="18" t="n">
        <v>0</v>
      </c>
      <c r="D18" s="18" t="n">
        <v>20</v>
      </c>
      <c r="E18" s="18" t="n">
        <v>80</v>
      </c>
      <c r="F18" s="18" t="n">
        <v>200</v>
      </c>
      <c r="G18" s="18" t="n">
        <v>300</v>
      </c>
      <c r="H18" s="7" t="inlineStr">
        <is>
          <t>★事例と検索から</t>
        </is>
      </c>
    </row>
    <row r="19">
      <c r="A19" s="4" t="inlineStr">
        <is>
          <t>受注本数 合計</t>
        </is>
      </c>
      <c r="B19" s="5" t="inlineStr"/>
      <c r="C19" s="6">
        <f>C8+C13+C17+C18</f>
        <v/>
      </c>
      <c r="D19" s="6">
        <f>D8+D13+D17+D18</f>
        <v/>
      </c>
      <c r="E19" s="6">
        <f>E8+E13+E17+E18</f>
        <v/>
      </c>
      <c r="F19" s="6">
        <f>F8+F13+F17+F18</f>
        <v/>
      </c>
      <c r="G19" s="6">
        <f>G8+G13+G17+G18</f>
        <v/>
      </c>
    </row>
    <row r="21">
      <c r="A21" s="12" t="inlineStr">
        <is>
          <t>取引社数と1社あたり</t>
        </is>
      </c>
    </row>
    <row r="22">
      <c r="A22" s="4" t="inlineStr">
        <is>
          <t>取引アカウント数</t>
        </is>
      </c>
      <c r="B22" s="5" t="inlineStr"/>
      <c r="C22" s="23">
        <f>C5*C6+ROUND(C10*C11,0)+C15</f>
        <v/>
      </c>
      <c r="D22" s="23">
        <f>D5*D6+ROUND(D10*D11,0)+D15</f>
        <v/>
      </c>
      <c r="E22" s="23">
        <f>E5*E6+ROUND(E10*E11,0)+E15</f>
        <v/>
      </c>
      <c r="F22" s="23">
        <f>F5*F6+ROUND(F10*F11,0)+F15</f>
        <v/>
      </c>
      <c r="G22" s="23">
        <f>G5*G6+ROUND(G10*G11,0)+G15</f>
        <v/>
      </c>
      <c r="H22" s="7" t="inlineStr">
        <is>
          <t>直販で持つのは一部だけ。残りはチャネル経由</t>
        </is>
      </c>
    </row>
    <row r="23">
      <c r="A23" s="4" t="inlineStr">
        <is>
          <t>1社あたり年間取引額（万円）</t>
        </is>
      </c>
      <c r="B23" s="5" t="inlineStr"/>
      <c r="C23" s="23">
        <f>IF(C22=0,0,'商品マスタ①'!I13*100/C22)</f>
        <v/>
      </c>
      <c r="D23" s="23">
        <f>IF(D22=0,0,'商品マスタ①'!J13*100/D22)</f>
        <v/>
      </c>
      <c r="E23" s="23">
        <f>IF(E22=0,0,'商品マスタ①'!K13*100/E22)</f>
        <v/>
      </c>
      <c r="F23" s="23">
        <f>IF(F22=0,0,'商品マスタ①'!L13*100/F22)</f>
        <v/>
      </c>
      <c r="G23" s="23">
        <f>IF(G22=0,0,'商品マスタ①'!M13*100/G22)</f>
        <v/>
      </c>
    </row>
    <row r="24">
      <c r="A24" s="4" t="inlineStr">
        <is>
          <t>直販が①売上に占める比率</t>
        </is>
      </c>
      <c r="B24" s="5" t="inlineStr"/>
      <c r="C24" s="30">
        <f>IF('商品マスタ①'!I13=0,0,C8*'商品マスタ①'!I9/100/'商品マスタ①'!I13)</f>
        <v/>
      </c>
      <c r="D24" s="30">
        <f>IF('商品マスタ①'!J13=0,0,D8*'商品マスタ①'!J9/100/'商品マスタ①'!J13)</f>
        <v/>
      </c>
      <c r="E24" s="30">
        <f>IF('商品マスタ①'!K13=0,0,E8*'商品マスタ①'!K9/100/'商品マスタ①'!K13)</f>
        <v/>
      </c>
      <c r="F24" s="30">
        <f>IF('商品マスタ①'!L13=0,0,F8*'商品マスタ①'!L9/100/'商品マスタ①'!L13)</f>
        <v/>
      </c>
      <c r="G24" s="30">
        <f>IF('商品マスタ①'!M13=0,0,G8*'商品マスタ①'!M9/100/'商品マスタ①'!M13)</f>
        <v/>
      </c>
      <c r="H24" s="7" t="inlineStr">
        <is>
          <t>営業人数に比例しない売り方になっているか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40" customWidth="1" min="10" max="10"/>
  </cols>
  <sheetData>
    <row r="1">
      <c r="A1" s="1" t="inlineStr">
        <is>
          <t>② 制作ツール外販 — 商品別</t>
        </is>
      </c>
    </row>
    <row r="2">
      <c r="A2" s="2" t="inlineStr">
        <is>
          <t>チェックポイントと工程ツールは別売り。LoRA個別構築は②の売上。法人は Enterprise / Standard の2階建て。★単価・席数・構成比は提案値。</t>
        </is>
      </c>
    </row>
    <row r="3" ht="24" customHeight="1">
      <c r="A3" s="3" t="inlineStr">
        <is>
          <t>商品</t>
        </is>
      </c>
      <c r="B3" s="3" t="inlineStr">
        <is>
          <t>課金形態</t>
        </is>
      </c>
      <c r="C3" s="3" t="inlineStr">
        <is>
          <t>単価(万円)</t>
        </is>
      </c>
      <c r="D3" s="3" t="inlineStr">
        <is>
          <t>継続/一過性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中身</t>
        </is>
      </c>
    </row>
    <row r="4">
      <c r="A4" s="5" t="inlineStr">
        <is>
          <t>チェックポイント Enterprise</t>
        </is>
      </c>
      <c r="B4" s="16" t="inlineStr">
        <is>
          <t>年額</t>
        </is>
      </c>
      <c r="C4" s="18" t="n">
        <v>300</v>
      </c>
      <c r="D4" s="16" t="inlineStr">
        <is>
          <t>継続</t>
        </is>
      </c>
      <c r="J4" s="7" t="inlineStr">
        <is>
          <t>全業種・商用利用</t>
        </is>
      </c>
    </row>
    <row r="5">
      <c r="A5" s="5" t="inlineStr">
        <is>
          <t>チェックポイント Standard</t>
        </is>
      </c>
      <c r="B5" s="16" t="inlineStr">
        <is>
          <t>年額</t>
        </is>
      </c>
      <c r="C5" s="18" t="n">
        <v>100</v>
      </c>
      <c r="D5" s="16" t="inlineStr">
        <is>
          <t>継続</t>
        </is>
      </c>
      <c r="J5" s="7" t="inlineStr">
        <is>
          <t>1業種</t>
        </is>
      </c>
    </row>
    <row r="6">
      <c r="A6" s="5" t="inlineStr">
        <is>
          <t>工程ツール（要件定義・自動チェック）</t>
        </is>
      </c>
      <c r="B6" s="16" t="inlineStr">
        <is>
          <t>月額2万/席</t>
        </is>
      </c>
      <c r="C6" s="18" t="n">
        <v>24</v>
      </c>
      <c r="D6" s="16" t="inlineStr">
        <is>
          <t>継続</t>
        </is>
      </c>
      <c r="J6" s="7" t="inlineStr">
        <is>
          <t>1席あたり年額</t>
        </is>
      </c>
    </row>
    <row r="7">
      <c r="A7" s="5" t="inlineStr">
        <is>
          <t>LoRA 年間保守</t>
        </is>
      </c>
      <c r="B7" s="16" t="inlineStr">
        <is>
          <t>年額</t>
        </is>
      </c>
      <c r="C7" s="18" t="n">
        <v>24</v>
      </c>
      <c r="D7" s="16" t="inlineStr">
        <is>
          <t>継続</t>
        </is>
      </c>
      <c r="J7" s="7" t="inlineStr">
        <is>
          <t>追加学習モデルの更新・再学習</t>
        </is>
      </c>
    </row>
    <row r="8">
      <c r="A8" s="5" t="inlineStr">
        <is>
          <t>LoRA 個別構築</t>
        </is>
      </c>
      <c r="B8" s="16" t="inlineStr">
        <is>
          <t>初期・都度</t>
        </is>
      </c>
      <c r="C8" s="18" t="n">
        <v>80</v>
      </c>
      <c r="D8" s="17" t="inlineStr">
        <is>
          <t>一過性</t>
        </is>
      </c>
      <c r="J8" s="7" t="inlineStr">
        <is>
          <t>毎年は発生しない。ARRには入らない</t>
        </is>
      </c>
    </row>
    <row r="10">
      <c r="A10" s="12" t="inlineStr">
        <is>
          <t>プラン構成</t>
        </is>
      </c>
    </row>
    <row r="11" ht="24" customHeight="1">
      <c r="A11" s="3" t="inlineStr">
        <is>
          <t>プラン</t>
        </is>
      </c>
      <c r="B11" s="3" t="inlineStr">
        <is>
          <t>チェックポイント</t>
        </is>
      </c>
      <c r="C11" s="3" t="inlineStr">
        <is>
          <t>工程ツール</t>
        </is>
      </c>
      <c r="D11" s="3" t="inlineStr">
        <is>
          <t>LoRA保守</t>
        </is>
      </c>
      <c r="E11" s="3" t="inlineStr">
        <is>
          <t>年額計</t>
        </is>
      </c>
      <c r="F11" s="3" t="inlineStr">
        <is>
          <t>席数</t>
        </is>
      </c>
      <c r="G11" s="3" t="inlineStr"/>
      <c r="H11" s="3" t="inlineStr"/>
      <c r="I11" s="3" t="inlineStr"/>
      <c r="J11" s="3" t="inlineStr"/>
    </row>
    <row r="12">
      <c r="A12" s="4" t="inlineStr">
        <is>
          <t>Enterprise</t>
        </is>
      </c>
      <c r="B12" s="8">
        <f>C4</f>
        <v/>
      </c>
      <c r="C12" s="8">
        <f>C6*F12</f>
        <v/>
      </c>
      <c r="D12" s="8">
        <f>C7</f>
        <v/>
      </c>
      <c r="E12" s="6">
        <f>SUM(B12:D12)</f>
        <v/>
      </c>
      <c r="F12" s="18" t="n">
        <v>10</v>
      </c>
    </row>
    <row r="13">
      <c r="A13" s="4" t="inlineStr">
        <is>
          <t>Standard</t>
        </is>
      </c>
      <c r="B13" s="8">
        <f>C5</f>
        <v/>
      </c>
      <c r="C13" s="8">
        <f>C6*F13</f>
        <v/>
      </c>
      <c r="D13" s="8">
        <f>C7</f>
        <v/>
      </c>
      <c r="E13" s="6">
        <f>SUM(B13:D13)</f>
        <v/>
      </c>
      <c r="F13" s="18" t="n">
        <v>3</v>
      </c>
    </row>
    <row r="15">
      <c r="A15" s="4" t="inlineStr">
        <is>
          <t>LoRA個別構築の付帯率</t>
        </is>
      </c>
      <c r="B15" s="19" t="n">
        <v>0.25</v>
      </c>
      <c r="C15" s="21">
        <f>C8*B15</f>
        <v/>
      </c>
      <c r="J15" s="7" t="inlineStr">
        <is>
          <t>新規契約の25%が初年度に発注★</t>
        </is>
      </c>
    </row>
    <row r="17">
      <c r="A17" s="12" t="inlineStr">
        <is>
          <t>期別</t>
        </is>
      </c>
    </row>
    <row r="18" ht="24" customHeight="1">
      <c r="A18" s="3" t="inlineStr">
        <is>
          <t>項目</t>
        </is>
      </c>
      <c r="B18" s="3" t="inlineStr"/>
      <c r="C18" s="3" t="inlineStr">
        <is>
          <t>1期</t>
        </is>
      </c>
      <c r="D18" s="3" t="inlineStr">
        <is>
          <t>2期</t>
        </is>
      </c>
      <c r="E18" s="3" t="inlineStr">
        <is>
          <t>3期</t>
        </is>
      </c>
      <c r="F18" s="3" t="inlineStr">
        <is>
          <t>4期</t>
        </is>
      </c>
      <c r="G18" s="3" t="inlineStr">
        <is>
          <t>5期</t>
        </is>
      </c>
      <c r="H18" s="3" t="inlineStr"/>
      <c r="I18" s="3" t="inlineStr"/>
      <c r="J18" s="3" t="inlineStr">
        <is>
          <t>考え方</t>
        </is>
      </c>
    </row>
    <row r="19">
      <c r="A19" s="5" t="inlineStr">
        <is>
          <t>法人契約数</t>
        </is>
      </c>
      <c r="B19" s="5" t="inlineStr"/>
      <c r="C19" s="18" t="n">
        <v>0</v>
      </c>
      <c r="D19" s="18" t="n">
        <v>15</v>
      </c>
      <c r="E19" s="18" t="n">
        <v>100</v>
      </c>
      <c r="F19" s="18" t="n">
        <v>320</v>
      </c>
      <c r="G19" s="18" t="n">
        <v>600</v>
      </c>
      <c r="J19" s="7" t="inlineStr">
        <is>
          <t>★海外展開が前提</t>
        </is>
      </c>
    </row>
    <row r="20">
      <c r="A20" s="5" t="inlineStr">
        <is>
          <t>Enterprise比率</t>
        </is>
      </c>
      <c r="B20" s="5" t="inlineStr"/>
      <c r="C20" s="19" t="n">
        <v>0</v>
      </c>
      <c r="D20" s="19" t="n">
        <v>0.13</v>
      </c>
      <c r="E20" s="19" t="n">
        <v>0.2</v>
      </c>
      <c r="F20" s="19" t="n">
        <v>0.25</v>
      </c>
      <c r="G20" s="19" t="n">
        <v>0.3</v>
      </c>
      <c r="J20" s="7" t="inlineStr">
        <is>
          <t>★事例が増えるほど上位プランが取れる</t>
        </is>
      </c>
    </row>
    <row r="21">
      <c r="A21" s="4" t="inlineStr">
        <is>
          <t xml:space="preserve">　Enterprise 社数</t>
        </is>
      </c>
      <c r="B21" s="5" t="inlineStr"/>
      <c r="C21" s="23">
        <f>ROUND(C19*C20,0)</f>
        <v/>
      </c>
      <c r="D21" s="23">
        <f>ROUND(D19*D20,0)</f>
        <v/>
      </c>
      <c r="E21" s="23">
        <f>ROUND(E19*E20,0)</f>
        <v/>
      </c>
      <c r="F21" s="23">
        <f>ROUND(F19*F20,0)</f>
        <v/>
      </c>
      <c r="G21" s="23">
        <f>ROUND(G19*G20,0)</f>
        <v/>
      </c>
    </row>
    <row r="22">
      <c r="A22" s="4" t="inlineStr">
        <is>
          <t xml:space="preserve">　Standard 社数</t>
        </is>
      </c>
      <c r="B22" s="5" t="inlineStr"/>
      <c r="C22" s="23">
        <f>C19-C21</f>
        <v/>
      </c>
      <c r="D22" s="23">
        <f>D19-D21</f>
        <v/>
      </c>
      <c r="E22" s="23">
        <f>E19-E21</f>
        <v/>
      </c>
      <c r="F22" s="23">
        <f>F19-F21</f>
        <v/>
      </c>
      <c r="G22" s="23">
        <f>G19-G21</f>
        <v/>
      </c>
    </row>
    <row r="23">
      <c r="A23" s="4" t="inlineStr">
        <is>
          <t>積み上げACV（万円）</t>
        </is>
      </c>
      <c r="B23" s="5" t="inlineStr"/>
      <c r="C23" s="23">
        <f>IF(C19=0,0,(C21*$E$12+C22*$E$13)/C19+$C$15)</f>
        <v/>
      </c>
      <c r="D23" s="23">
        <f>IF(D19=0,0,(D21*$E$12+D22*$E$13)/D19+$C$15)</f>
        <v/>
      </c>
      <c r="E23" s="23">
        <f>IF(E19=0,0,(E21*$E$12+E22*$E$13)/E19+$C$15)</f>
        <v/>
      </c>
      <c r="F23" s="23">
        <f>IF(F19=0,0,(F21*$E$12+F22*$E$13)/F19+$C$15)</f>
        <v/>
      </c>
      <c r="G23" s="23">
        <f>IF(G19=0,0,(G21*$E$12+G22*$E$13)/G19+$C$15)</f>
        <v/>
      </c>
      <c r="J23" s="7" t="inlineStr">
        <is>
          <t>一本値ではなく積み上げ</t>
        </is>
      </c>
    </row>
    <row r="24">
      <c r="A24" s="4" t="inlineStr">
        <is>
          <t>法人売上（百万円）</t>
        </is>
      </c>
      <c r="B24" s="5" t="inlineStr"/>
      <c r="C24" s="21">
        <f>C19*C23/100</f>
        <v/>
      </c>
      <c r="D24" s="21">
        <f>D19*D23/100</f>
        <v/>
      </c>
      <c r="E24" s="21">
        <f>E19*E23/100</f>
        <v/>
      </c>
      <c r="F24" s="21">
        <f>F19*F23/100</f>
        <v/>
      </c>
      <c r="G24" s="21">
        <f>G19*G23/100</f>
        <v/>
      </c>
    </row>
    <row r="25">
      <c r="A25" s="5" t="inlineStr">
        <is>
          <t>個人契約数</t>
        </is>
      </c>
      <c r="B25" s="5" t="inlineStr"/>
      <c r="C25" s="18" t="n">
        <v>0</v>
      </c>
      <c r="D25" s="18" t="n">
        <v>0</v>
      </c>
      <c r="E25" s="18" t="n">
        <v>2000</v>
      </c>
      <c r="F25" s="18" t="n">
        <v>8000</v>
      </c>
      <c r="G25" s="18" t="n">
        <v>17000</v>
      </c>
      <c r="J25" s="7" t="inlineStr">
        <is>
          <t>★プロクリエイター</t>
        </is>
      </c>
    </row>
    <row r="26">
      <c r="A26" s="5" t="inlineStr">
        <is>
          <t>個人ACV（万円）</t>
        </is>
      </c>
      <c r="B26" s="5" t="inlineStr"/>
      <c r="C26" s="18" t="n">
        <v>12</v>
      </c>
      <c r="D26" s="18" t="n">
        <v>12</v>
      </c>
      <c r="E26" s="18" t="n">
        <v>12</v>
      </c>
      <c r="F26" s="18" t="n">
        <v>12</v>
      </c>
      <c r="G26" s="18" t="n">
        <v>12</v>
      </c>
      <c r="J26" s="7" t="inlineStr">
        <is>
          <t>月1万円（チェックポイント6千＋工程ツール4千）</t>
        </is>
      </c>
    </row>
    <row r="27">
      <c r="A27" s="4" t="inlineStr">
        <is>
          <t>個人売上（百万円）</t>
        </is>
      </c>
      <c r="B27" s="5" t="inlineStr"/>
      <c r="C27" s="21">
        <f>C25*C26/100</f>
        <v/>
      </c>
      <c r="D27" s="21">
        <f>D25*D26/100</f>
        <v/>
      </c>
      <c r="E27" s="21">
        <f>E25*E26/100</f>
        <v/>
      </c>
      <c r="F27" s="21">
        <f>F25*F26/100</f>
        <v/>
      </c>
      <c r="G27" s="21">
        <f>G25*G26/100</f>
        <v/>
      </c>
    </row>
    <row r="29">
      <c r="A29" s="12" t="inlineStr">
        <is>
          <t>②-C 個人セルフサーブ（用途特化・フリーミアム）</t>
        </is>
      </c>
    </row>
    <row r="30" ht="24" customHeight="1">
      <c r="A30" s="3" t="inlineStr">
        <is>
          <t>項目</t>
        </is>
      </c>
      <c r="B30" s="3" t="inlineStr"/>
      <c r="C30" s="3" t="inlineStr">
        <is>
          <t>1期</t>
        </is>
      </c>
      <c r="D30" s="3" t="inlineStr">
        <is>
          <t>2期</t>
        </is>
      </c>
      <c r="E30" s="3" t="inlineStr">
        <is>
          <t>3期</t>
        </is>
      </c>
      <c r="F30" s="3" t="inlineStr">
        <is>
          <t>4期</t>
        </is>
      </c>
      <c r="G30" s="3" t="inlineStr">
        <is>
          <t>5期</t>
        </is>
      </c>
      <c r="H30" s="3" t="inlineStr"/>
      <c r="I30" s="3" t="inlineStr"/>
      <c r="J30" s="3" t="inlineStr">
        <is>
          <t>考え方</t>
        </is>
      </c>
    </row>
    <row r="31">
      <c r="A31" s="5" t="inlineStr">
        <is>
          <t>登録ユーザー（累計）</t>
        </is>
      </c>
      <c r="B31" s="5" t="inlineStr"/>
      <c r="C31" s="18" t="n">
        <v>0</v>
      </c>
      <c r="D31" s="18" t="n">
        <v>30000</v>
      </c>
      <c r="E31" s="18" t="n">
        <v>120000</v>
      </c>
      <c r="F31" s="18" t="n">
        <v>280000</v>
      </c>
      <c r="G31" s="18" t="n">
        <v>500000</v>
      </c>
      <c r="J31" s="7" t="inlineStr">
        <is>
          <t>★テンプレートは③-Aの6商品に固定</t>
        </is>
      </c>
    </row>
    <row r="32">
      <c r="A32" s="5" t="inlineStr">
        <is>
          <t>有料転換率</t>
        </is>
      </c>
      <c r="B32" s="5" t="inlineStr"/>
      <c r="C32" s="19" t="n">
        <v>0</v>
      </c>
      <c r="D32" s="19" t="n">
        <v>0.05</v>
      </c>
      <c r="E32" s="19" t="n">
        <v>0.06</v>
      </c>
      <c r="F32" s="19" t="n">
        <v>0.07000000000000001</v>
      </c>
      <c r="G32" s="19" t="n">
        <v>0.08</v>
      </c>
      <c r="J32" s="7" t="inlineStr">
        <is>
          <t>★</t>
        </is>
      </c>
    </row>
    <row r="33">
      <c r="A33" s="4" t="inlineStr">
        <is>
          <t xml:space="preserve">　有料ユーザー</t>
        </is>
      </c>
      <c r="B33" s="5" t="inlineStr"/>
      <c r="C33" s="23">
        <f>ROUND(C31*C32,0)</f>
        <v/>
      </c>
      <c r="D33" s="23">
        <f>ROUND(D31*D32,0)</f>
        <v/>
      </c>
      <c r="E33" s="23">
        <f>ROUND(E31*E32,0)</f>
        <v/>
      </c>
      <c r="F33" s="23">
        <f>ROUND(F31*F32,0)</f>
        <v/>
      </c>
      <c r="G33" s="23">
        <f>ROUND(G31*G32,0)</f>
        <v/>
      </c>
    </row>
    <row r="34">
      <c r="A34" s="5" t="inlineStr">
        <is>
          <t>ARPPU（円/年）</t>
        </is>
      </c>
      <c r="B34" s="5" t="inlineStr"/>
      <c r="C34" s="18" t="n">
        <v>0</v>
      </c>
      <c r="D34" s="18" t="n">
        <v>4000</v>
      </c>
      <c r="E34" s="18" t="n">
        <v>4000</v>
      </c>
      <c r="F34" s="18" t="n">
        <v>4000</v>
      </c>
      <c r="G34" s="18" t="n">
        <v>4000</v>
      </c>
      <c r="J34" s="7" t="inlineStr">
        <is>
          <t>★都度1,500円/本と月額980円の混合</t>
        </is>
      </c>
    </row>
    <row r="35">
      <c r="A35" s="4" t="inlineStr">
        <is>
          <t>②-C 売上（百万円）</t>
        </is>
      </c>
      <c r="B35" s="5" t="inlineStr"/>
      <c r="C35" s="21">
        <f>C33*C34/1000000</f>
        <v/>
      </c>
      <c r="D35" s="21">
        <f>D33*D34/1000000</f>
        <v/>
      </c>
      <c r="E35" s="21">
        <f>E33*E34/1000000</f>
        <v/>
      </c>
      <c r="F35" s="21">
        <f>F33*F34/1000000</f>
        <v/>
      </c>
      <c r="G35" s="21">
        <f>G33*G34/1000000</f>
        <v/>
      </c>
    </row>
    <row r="36">
      <c r="A36" s="4" t="inlineStr">
        <is>
          <t>年間出力本数（データ）</t>
        </is>
      </c>
      <c r="B36" s="5" t="inlineStr"/>
      <c r="C36" s="23">
        <f>ROUND(C33*2.5,0)</f>
        <v/>
      </c>
      <c r="D36" s="23">
        <f>ROUND(D33*2.5,0)</f>
        <v/>
      </c>
      <c r="E36" s="23">
        <f>ROUND(E33*2.5,0)</f>
        <v/>
      </c>
      <c r="F36" s="23">
        <f>ROUND(F33*2.5,0)</f>
        <v/>
      </c>
      <c r="G36" s="23">
        <f>ROUND(G33*2.5,0)</f>
        <v/>
      </c>
      <c r="J36" s="7" t="inlineStr">
        <is>
          <t>却下された中間生成物も学習に回る</t>
        </is>
      </c>
    </row>
    <row r="38">
      <c r="A38" s="4" t="inlineStr">
        <is>
          <t>② 売上 合計（百万円）</t>
        </is>
      </c>
      <c r="B38" s="5" t="inlineStr"/>
      <c r="C38" s="6">
        <f>C24+C27+C35</f>
        <v/>
      </c>
      <c r="D38" s="6">
        <f>D24+D27+D35</f>
        <v/>
      </c>
      <c r="E38" s="6">
        <f>E24+E27+E35</f>
        <v/>
      </c>
      <c r="F38" s="6">
        <f>F24+F27+F35</f>
        <v/>
      </c>
      <c r="G38" s="6">
        <f>G24+G27+G35</f>
        <v/>
      </c>
    </row>
    <row r="39">
      <c r="A39" s="4" t="inlineStr">
        <is>
          <t>② 粗利率</t>
        </is>
      </c>
      <c r="B39" s="19" t="n">
        <v>0.8</v>
      </c>
      <c r="J39" s="7" t="inlineStr">
        <is>
          <t>★ソフトウェア外販の一般水準</t>
        </is>
      </c>
    </row>
    <row r="41">
      <c r="A41" s="12" t="inlineStr">
        <is>
          <t>ARRベース（継続課金のみ）— Synthesia・HeyGenと同じ土俵で比べるための行</t>
        </is>
      </c>
    </row>
    <row r="42" ht="24" customHeight="1">
      <c r="A42" s="3" t="inlineStr">
        <is>
          <t>項目</t>
        </is>
      </c>
      <c r="B42" s="3" t="inlineStr"/>
      <c r="C42" s="3" t="inlineStr">
        <is>
          <t>1期</t>
        </is>
      </c>
      <c r="D42" s="3" t="inlineStr">
        <is>
          <t>2期</t>
        </is>
      </c>
      <c r="E42" s="3" t="inlineStr">
        <is>
          <t>3期</t>
        </is>
      </c>
      <c r="F42" s="3" t="inlineStr">
        <is>
          <t>4期</t>
        </is>
      </c>
      <c r="G42" s="3" t="inlineStr">
        <is>
          <t>5期</t>
        </is>
      </c>
      <c r="H42" s="3" t="inlineStr"/>
      <c r="I42" s="3" t="inlineStr"/>
      <c r="J42" s="3" t="inlineStr">
        <is>
          <t>考え方</t>
        </is>
      </c>
    </row>
    <row r="43">
      <c r="A43" s="5" t="inlineStr">
        <is>
          <t>法人ARR / 社（万円）</t>
        </is>
      </c>
      <c r="B43" s="5" t="inlineStr"/>
      <c r="C43" s="23">
        <f>IF(C19=0,0,C23-$C$15)</f>
        <v/>
      </c>
      <c r="D43" s="23">
        <f>IF(D19=0,0,D23-$C$15)</f>
        <v/>
      </c>
      <c r="E43" s="23">
        <f>IF(E19=0,0,E23-$C$15)</f>
        <v/>
      </c>
      <c r="F43" s="23">
        <f>IF(F19=0,0,F23-$C$15)</f>
        <v/>
      </c>
      <c r="G43" s="23">
        <f>IF(G19=0,0,G23-$C$15)</f>
        <v/>
      </c>
      <c r="J43" s="7" t="inlineStr">
        <is>
          <t>積み上げACVから LoRA個別構築の20万を除く</t>
        </is>
      </c>
    </row>
    <row r="44">
      <c r="A44" s="5" t="inlineStr">
        <is>
          <t>法人ARR（百万円）</t>
        </is>
      </c>
      <c r="B44" s="5" t="inlineStr"/>
      <c r="C44" s="23">
        <f>C19*C43/100</f>
        <v/>
      </c>
      <c r="D44" s="23">
        <f>D19*D43/100</f>
        <v/>
      </c>
      <c r="E44" s="23">
        <f>E19*E43/100</f>
        <v/>
      </c>
      <c r="F44" s="23">
        <f>F19*F43/100</f>
        <v/>
      </c>
      <c r="G44" s="23">
        <f>G19*G43/100</f>
        <v/>
      </c>
    </row>
    <row r="45">
      <c r="A45" s="4" t="inlineStr">
        <is>
          <t>② ARR 合計（百万円）</t>
        </is>
      </c>
      <c r="B45" s="5" t="inlineStr"/>
      <c r="C45" s="6">
        <f>C44+C27+C35*$B$47</f>
        <v/>
      </c>
      <c r="D45" s="6">
        <f>D44+D27+D35*$B$47</f>
        <v/>
      </c>
      <c r="E45" s="6">
        <f>E44+E27+E35*$B$47</f>
        <v/>
      </c>
      <c r="F45" s="6">
        <f>F44+F27+F35*$B$47</f>
        <v/>
      </c>
      <c r="G45" s="6">
        <f>G44+G27+G35*$B$47</f>
        <v/>
      </c>
      <c r="J45" s="7" t="inlineStr">
        <is>
          <t>法人ARR ＋ 個人 ＋ セルフサーブの継続分</t>
        </is>
      </c>
    </row>
    <row r="46">
      <c r="A46" s="5" t="inlineStr">
        <is>
          <t>一過性収入（百万円）</t>
        </is>
      </c>
      <c r="B46" s="5" t="inlineStr"/>
      <c r="C46" s="23">
        <f>C38-C45</f>
        <v/>
      </c>
      <c r="D46" s="23">
        <f>D38-D45</f>
        <v/>
      </c>
      <c r="E46" s="23">
        <f>E38-E45</f>
        <v/>
      </c>
      <c r="F46" s="23">
        <f>F38-F45</f>
        <v/>
      </c>
      <c r="G46" s="23">
        <f>G38-G45</f>
        <v/>
      </c>
      <c r="J46" s="7" t="inlineStr">
        <is>
          <t>LoRA個別構築とセルフサーブの都度課金</t>
        </is>
      </c>
    </row>
    <row r="47">
      <c r="A47" s="4" t="inlineStr">
        <is>
          <t>②-C のうち継続課金の比率</t>
        </is>
      </c>
      <c r="B47" s="19" t="n">
        <v>0.5</v>
      </c>
      <c r="J47" s="7" t="inlineStr">
        <is>
          <t>★月額980円と都度1,500円/本の混合。都度分はARRに入らない</t>
        </is>
      </c>
    </row>
    <row r="49">
      <c r="A49" s="2" t="inlineStr">
        <is>
          <t>② 売上（ACVベース）と ② ARR の差が一過性収入。投資家に「御社のARRは？」と聞かれたら下の行を答える。デッキで Synthesia 210億・HeyGen 300億と並べているが、あちらの公表値はARRなので揃える必要がある。</t>
        </is>
      </c>
    </row>
    <row r="51">
      <c r="A51" s="2" t="inlineStr">
        <is>
          <t>②-C はここに置く（③ではなく）。ツール事業の倍率が当たる側で、会社の形も3事業のまま保てる。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12" customWidth="1" min="5" max="5"/>
    <col width="13" customWidth="1" min="6" max="6"/>
    <col width="12" customWidth="1" min="7" max="7"/>
    <col width="11" customWidth="1" min="8" max="8"/>
    <col width="12" customWidth="1" min="9" max="9"/>
    <col width="13" customWidth="1" min="10" max="10"/>
    <col width="34" customWidth="1" min="11" max="11"/>
  </cols>
  <sheetData>
    <row r="1">
      <c r="A1" s="1" t="inlineStr">
        <is>
          <t>③ 越境C2C — 商品別</t>
        </is>
      </c>
    </row>
    <row r="2">
      <c r="A2" s="2" t="inlineStr">
        <is>
          <t>価格は上限を採用（松田さんの決定）。上限＝日本の発注者の支払意思。下限はクリエイターの留保価格で、下回ると供給が付かないという床。中点は参考。</t>
        </is>
      </c>
    </row>
    <row r="3" ht="24" customHeight="1">
      <c r="A3" s="3" t="inlineStr">
        <is>
          <t>商品</t>
        </is>
      </c>
      <c r="B3" s="3" t="inlineStr">
        <is>
          <t>分類</t>
        </is>
      </c>
      <c r="C3" s="3" t="inlineStr">
        <is>
          <t>参考 軽い場合</t>
        </is>
      </c>
      <c r="D3" s="3" t="inlineStr">
        <is>
          <t>標準工数</t>
        </is>
      </c>
      <c r="E3" s="3" t="inlineStr">
        <is>
          <t>下限（供給）</t>
        </is>
      </c>
      <c r="F3" s="3" t="inlineStr">
        <is>
          <t>上限＝採用価格</t>
        </is>
      </c>
      <c r="G3" s="3" t="inlineStr">
        <is>
          <t>参考 中点</t>
        </is>
      </c>
      <c r="H3" s="3" t="inlineStr">
        <is>
          <t>5期件数</t>
        </is>
      </c>
      <c r="I3" s="3" t="inlineStr">
        <is>
          <t>年間工数</t>
        </is>
      </c>
      <c r="J3" s="3" t="inlineStr">
        <is>
          <t>5期GMV(百万)</t>
        </is>
      </c>
      <c r="K3" s="3" t="inlineStr">
        <is>
          <t>上限の根拠</t>
        </is>
      </c>
    </row>
    <row r="5">
      <c r="A5" s="5" t="inlineStr">
        <is>
          <t>SNS用ショート</t>
        </is>
      </c>
      <c r="B5" s="34" t="inlineStr">
        <is>
          <t>A</t>
        </is>
      </c>
      <c r="C5" s="25" t="n">
        <v>0.5</v>
      </c>
      <c r="D5" s="25" t="n">
        <v>1.5</v>
      </c>
      <c r="E5" s="23">
        <f>ROUNDUP('クリエイター経済'!$B$10*D5/(1-$B$28)/500,0)*500</f>
        <v/>
      </c>
      <c r="F5" s="6" t="n">
        <v>10000</v>
      </c>
      <c r="G5" s="35">
        <f>(E5+F5)/2</f>
        <v/>
      </c>
      <c r="H5" s="18" t="n">
        <v>25000</v>
      </c>
      <c r="I5" s="8">
        <f>D5*H5</f>
        <v/>
      </c>
      <c r="J5" s="29">
        <f>F5*H5/1000000</f>
        <v/>
      </c>
      <c r="K5" s="7" t="inlineStr">
        <is>
          <t>個人の動画編集外注 5千〜3万の下側</t>
        </is>
      </c>
    </row>
    <row r="6">
      <c r="A6" s="5" t="inlineStr">
        <is>
          <t>誕生日ムービー</t>
        </is>
      </c>
      <c r="B6" s="34" t="inlineStr">
        <is>
          <t>A</t>
        </is>
      </c>
      <c r="C6" s="25" t="n">
        <v>1</v>
      </c>
      <c r="D6" s="25" t="n">
        <v>2.5</v>
      </c>
      <c r="E6" s="23">
        <f>ROUNDUP('クリエイター経済'!$B$10*D6/(1-$B$28)/500,0)*500</f>
        <v/>
      </c>
      <c r="F6" s="6" t="n">
        <v>15000</v>
      </c>
      <c r="G6" s="35">
        <f>(E6+F6)/2</f>
        <v/>
      </c>
      <c r="H6" s="18" t="n">
        <v>12000</v>
      </c>
      <c r="I6" s="8">
        <f>D6*H6</f>
        <v/>
      </c>
      <c r="J6" s="29">
        <f>F6*H6/1000000</f>
        <v/>
      </c>
      <c r="K6" s="7" t="inlineStr">
        <is>
          <t>サプライズ動画 数千〜2万</t>
        </is>
      </c>
    </row>
    <row r="7">
      <c r="A7" s="5" t="inlineStr">
        <is>
          <t>記念日ムービー</t>
        </is>
      </c>
      <c r="B7" s="34" t="inlineStr">
        <is>
          <t>A</t>
        </is>
      </c>
      <c r="C7" s="25" t="n">
        <v>1</v>
      </c>
      <c r="D7" s="25" t="n">
        <v>3</v>
      </c>
      <c r="E7" s="23">
        <f>ROUNDUP('クリエイター経済'!$B$10*D7/(1-$B$28)/500,0)*500</f>
        <v/>
      </c>
      <c r="F7" s="6" t="n">
        <v>18000</v>
      </c>
      <c r="G7" s="35">
        <f>(E7+F7)/2</f>
        <v/>
      </c>
      <c r="H7" s="18" t="n">
        <v>8000</v>
      </c>
      <c r="I7" s="8">
        <f>D7*H7</f>
        <v/>
      </c>
      <c r="J7" s="29">
        <f>F7*H7/1000000</f>
        <v/>
      </c>
      <c r="K7" s="7" t="inlineStr">
        <is>
          <t>還暦・退職。誕生日より重い</t>
        </is>
      </c>
    </row>
    <row r="8">
      <c r="A8" s="5" t="inlineStr">
        <is>
          <t>イベント・余興ムービー</t>
        </is>
      </c>
      <c r="B8" s="34" t="inlineStr">
        <is>
          <t>A</t>
        </is>
      </c>
      <c r="C8" s="25" t="n">
        <v>2</v>
      </c>
      <c r="D8" s="25" t="n">
        <v>5</v>
      </c>
      <c r="E8" s="23">
        <f>ROUNDUP('クリエイター経済'!$B$10*D8/(1-$B$28)/500,0)*500</f>
        <v/>
      </c>
      <c r="F8" s="6" t="n">
        <v>30000</v>
      </c>
      <c r="G8" s="35">
        <f>(E8+F8)/2</f>
        <v/>
      </c>
      <c r="H8" s="18" t="n">
        <v>10000</v>
      </c>
      <c r="I8" s="8">
        <f>D8*H8</f>
        <v/>
      </c>
      <c r="J8" s="29">
        <f>F8*H8/1000000</f>
        <v/>
      </c>
      <c r="K8" s="7" t="inlineStr">
        <is>
          <t>二次会・余興 1〜5万</t>
        </is>
      </c>
    </row>
    <row r="9">
      <c r="A9" s="5" t="inlineStr">
        <is>
          <t>WEBサイト用</t>
        </is>
      </c>
      <c r="B9" s="34" t="inlineStr">
        <is>
          <t>A</t>
        </is>
      </c>
      <c r="C9" s="25" t="n">
        <v>3</v>
      </c>
      <c r="D9" s="25" t="n">
        <v>8</v>
      </c>
      <c r="E9" s="23">
        <f>ROUNDUP('クリエイター経済'!$B$10*D9/(1-$B$28)/500,0)*500</f>
        <v/>
      </c>
      <c r="F9" s="6" t="n">
        <v>50000</v>
      </c>
      <c r="G9" s="35">
        <f>(E9+F9)/2</f>
        <v/>
      </c>
      <c r="H9" s="18" t="n">
        <v>6000</v>
      </c>
      <c r="I9" s="8">
        <f>D9*H9</f>
        <v/>
      </c>
      <c r="J9" s="29">
        <f>F9*H9/1000000</f>
        <v/>
      </c>
      <c r="K9" s="7" t="inlineStr">
        <is>
          <t>個人事業主のサイト用 3〜10万</t>
        </is>
      </c>
    </row>
    <row r="10">
      <c r="A10" s="5" t="inlineStr">
        <is>
          <t>ウェディングムービー</t>
        </is>
      </c>
      <c r="B10" s="34" t="inlineStr">
        <is>
          <t>A</t>
        </is>
      </c>
      <c r="C10" s="25" t="n">
        <v>5</v>
      </c>
      <c r="D10" s="25" t="n">
        <v>15</v>
      </c>
      <c r="E10" s="23">
        <f>ROUNDUP('クリエイター経済'!$B$10*D10/(1-$B$28)/500,0)*500</f>
        <v/>
      </c>
      <c r="F10" s="6" t="n">
        <v>80000</v>
      </c>
      <c r="G10" s="35">
        <f>(E10+F10)/2</f>
        <v/>
      </c>
      <c r="H10" s="18" t="n">
        <v>9000</v>
      </c>
      <c r="I10" s="8">
        <f>D10*H10</f>
        <v/>
      </c>
      <c r="J10" s="29">
        <f>F10*H10/1000000</f>
        <v/>
      </c>
      <c r="K10" s="7" t="inlineStr">
        <is>
          <t>結婚式ムービー外注 3〜10万</t>
        </is>
      </c>
    </row>
    <row r="11">
      <c r="A11" s="5" t="inlineStr">
        <is>
          <t>会社紹介ショート</t>
        </is>
      </c>
      <c r="B11" s="34" t="inlineStr">
        <is>
          <t>B</t>
        </is>
      </c>
      <c r="C11" s="25" t="n">
        <v>6</v>
      </c>
      <c r="D11" s="25" t="n">
        <v>12</v>
      </c>
      <c r="E11" s="23">
        <f>ROUNDUP('クリエイター経済'!$B$10*D11/(1-$B$28)/500,0)*500</f>
        <v/>
      </c>
      <c r="F11" s="6" t="n">
        <v>120000</v>
      </c>
      <c r="G11" s="35">
        <f>(E11+F11)/2</f>
        <v/>
      </c>
      <c r="H11" s="18" t="n">
        <v>4000</v>
      </c>
      <c r="I11" s="8">
        <f>D11*H11</f>
        <v/>
      </c>
      <c r="J11" s="29">
        <f>F11*H11/1000000</f>
        <v/>
      </c>
      <c r="K11" s="7" t="inlineStr">
        <is>
          <t>①の当社価格50万の1/4</t>
        </is>
      </c>
    </row>
    <row r="12">
      <c r="A12" s="5" t="inlineStr">
        <is>
          <t>採用（小規模・1職種）</t>
        </is>
      </c>
      <c r="B12" s="34" t="inlineStr">
        <is>
          <t>B</t>
        </is>
      </c>
      <c r="C12" s="25" t="n">
        <v>8</v>
      </c>
      <c r="D12" s="25" t="n">
        <v>16</v>
      </c>
      <c r="E12" s="23">
        <f>ROUNDUP('クリエイター経済'!$B$10*D12/(1-$B$28)/500,0)*500</f>
        <v/>
      </c>
      <c r="F12" s="6" t="n">
        <v>180000</v>
      </c>
      <c r="G12" s="35">
        <f>(E12+F12)/2</f>
        <v/>
      </c>
      <c r="H12" s="18" t="n">
        <v>2500</v>
      </c>
      <c r="I12" s="8">
        <f>D12*H12</f>
        <v/>
      </c>
      <c r="J12" s="29">
        <f>F12*H12/1000000</f>
        <v/>
      </c>
      <c r="K12" s="7" t="inlineStr">
        <is>
          <t>①の当社価格100万の1/5〜1/6</t>
        </is>
      </c>
    </row>
    <row r="13">
      <c r="A13" s="5" t="inlineStr">
        <is>
          <t>商品・サービス紹介</t>
        </is>
      </c>
      <c r="B13" s="34" t="inlineStr">
        <is>
          <t>B</t>
        </is>
      </c>
      <c r="C13" s="25" t="n">
        <v>6</v>
      </c>
      <c r="D13" s="25" t="n">
        <v>14</v>
      </c>
      <c r="E13" s="23">
        <f>ROUNDUP('クリエイター経済'!$B$10*D13/(1-$B$28)/500,0)*500</f>
        <v/>
      </c>
      <c r="F13" s="6" t="n">
        <v>150000</v>
      </c>
      <c r="G13" s="35">
        <f>(E13+F13)/2</f>
        <v/>
      </c>
      <c r="H13" s="18" t="n">
        <v>5000</v>
      </c>
      <c r="I13" s="8">
        <f>D13*H13</f>
        <v/>
      </c>
      <c r="J13" s="29">
        <f>F13*H13/1000000</f>
        <v/>
      </c>
      <c r="K13" s="7" t="inlineStr">
        <is>
          <t>機能数で振れる</t>
        </is>
      </c>
    </row>
    <row r="14">
      <c r="A14" s="5" t="inlineStr">
        <is>
          <t>店舗・施設紹介</t>
        </is>
      </c>
      <c r="B14" s="34" t="inlineStr">
        <is>
          <t>B</t>
        </is>
      </c>
      <c r="C14" s="25" t="n">
        <v>5</v>
      </c>
      <c r="D14" s="25" t="n">
        <v>10</v>
      </c>
      <c r="E14" s="23">
        <f>ROUNDUP('クリエイター経済'!$B$10*D14/(1-$B$28)/500,0)*500</f>
        <v/>
      </c>
      <c r="F14" s="6" t="n">
        <v>100000</v>
      </c>
      <c r="G14" s="35">
        <f>(E14+F14)/2</f>
        <v/>
      </c>
      <c r="H14" s="18" t="n">
        <v>3500</v>
      </c>
      <c r="I14" s="8">
        <f>D14*H14</f>
        <v/>
      </c>
      <c r="J14" s="29">
        <f>F14*H14/1000000</f>
        <v/>
      </c>
      <c r="K14" s="7" t="inlineStr">
        <is>
          <t>撮影なし・生成のみ</t>
        </is>
      </c>
    </row>
    <row r="15">
      <c r="A15" s="5" t="inlineStr">
        <is>
          <t>展示会・イベント告知</t>
        </is>
      </c>
      <c r="B15" s="34" t="inlineStr">
        <is>
          <t>B</t>
        </is>
      </c>
      <c r="C15" s="25" t="n">
        <v>4</v>
      </c>
      <c r="D15" s="25" t="n">
        <v>9</v>
      </c>
      <c r="E15" s="23">
        <f>ROUNDUP('クリエイター経済'!$B$10*D15/(1-$B$28)/500,0)*500</f>
        <v/>
      </c>
      <c r="F15" s="6" t="n">
        <v>80000</v>
      </c>
      <c r="G15" s="35">
        <f>(E15+F15)/2</f>
        <v/>
      </c>
      <c r="H15" s="18" t="n">
        <v>2000</v>
      </c>
      <c r="I15" s="8">
        <f>D15*H15</f>
        <v/>
      </c>
      <c r="J15" s="29">
        <f>F15*H15/1000000</f>
        <v/>
      </c>
      <c r="K15" s="7" t="inlineStr">
        <is>
          <t>①の当社価格30万の1/4</t>
        </is>
      </c>
    </row>
    <row r="16">
      <c r="A16" s="5" t="inlineStr">
        <is>
          <t>SNS広告用（縦型3本）</t>
        </is>
      </c>
      <c r="B16" s="34" t="inlineStr">
        <is>
          <t>B</t>
        </is>
      </c>
      <c r="C16" s="25" t="n">
        <v>6</v>
      </c>
      <c r="D16" s="25" t="n">
        <v>12</v>
      </c>
      <c r="E16" s="23">
        <f>ROUNDUP('クリエイター経済'!$B$10*D16/(1-$B$28)/500,0)*500</f>
        <v/>
      </c>
      <c r="F16" s="6" t="n">
        <v>120000</v>
      </c>
      <c r="G16" s="35">
        <f>(E16+F16)/2</f>
        <v/>
      </c>
      <c r="H16" s="18" t="n">
        <v>6000</v>
      </c>
      <c r="I16" s="8">
        <f>D16*H16</f>
        <v/>
      </c>
      <c r="J16" s="29">
        <f>F16*H16/1000000</f>
        <v/>
      </c>
      <c r="K16" s="7" t="inlineStr">
        <is>
          <t>3本セット</t>
        </is>
      </c>
    </row>
    <row r="17">
      <c r="A17" s="5" t="inlineStr">
        <is>
          <t>個人オーダーメイド</t>
        </is>
      </c>
      <c r="B17" s="34" t="inlineStr">
        <is>
          <t>C</t>
        </is>
      </c>
      <c r="C17" s="25" t="n">
        <v>3</v>
      </c>
      <c r="D17" s="25" t="n">
        <v>10</v>
      </c>
      <c r="E17" s="23">
        <f>ROUNDUP('クリエイター経済'!$B$10*D17/(1-$B$28)/500,0)*500</f>
        <v/>
      </c>
      <c r="F17" s="6" t="n">
        <v>150000</v>
      </c>
      <c r="G17" s="35">
        <f>(E17+F17)/2</f>
        <v/>
      </c>
      <c r="H17" s="18" t="n">
        <v>5900</v>
      </c>
      <c r="I17" s="8">
        <f>D17*H17</f>
        <v/>
      </c>
      <c r="J17" s="29">
        <f>F17*H17/1000000</f>
        <v/>
      </c>
      <c r="K17" s="7" t="inlineStr">
        <is>
          <t>パッケージに収まらない個別要望</t>
        </is>
      </c>
    </row>
    <row r="18">
      <c r="A18" s="5" t="inlineStr">
        <is>
          <t>企業オーダーメイド</t>
        </is>
      </c>
      <c r="B18" s="34" t="inlineStr">
        <is>
          <t>C</t>
        </is>
      </c>
      <c r="C18" s="25" t="n">
        <v>10</v>
      </c>
      <c r="D18" s="25" t="n">
        <v>50</v>
      </c>
      <c r="E18" s="23">
        <f>ROUNDUP('クリエイター経済'!$B$10*D18/(1-$B$28)/500,0)*500</f>
        <v/>
      </c>
      <c r="F18" s="6" t="n">
        <v>1000000</v>
      </c>
      <c r="G18" s="35">
        <f>(E18+F18)/2</f>
        <v/>
      </c>
      <c r="H18" s="18" t="n">
        <v>8900</v>
      </c>
      <c r="I18" s="8">
        <f>D18*H18</f>
        <v/>
      </c>
      <c r="J18" s="29">
        <f>F18*H18/1000000</f>
        <v/>
      </c>
      <c r="K18" s="7" t="inlineStr">
        <is>
          <t>上限100万。月742件</t>
        </is>
      </c>
    </row>
    <row r="20">
      <c r="A20" s="4" t="inlineStr">
        <is>
          <t>小計 ③-A 個人パッケージ</t>
        </is>
      </c>
      <c r="B20" s="34" t="inlineStr">
        <is>
          <t>A</t>
        </is>
      </c>
      <c r="H20" s="21">
        <f>SUMIF($B$5:$B$18,"A",H$5:H$18)</f>
        <v/>
      </c>
      <c r="I20" s="21">
        <f>SUMIF($B$5:$B$18,"A",I$5:I$18)</f>
        <v/>
      </c>
      <c r="J20" s="28">
        <f>SUMIF($B$5:$B$18,"A",J$5:J$18)</f>
        <v/>
      </c>
    </row>
    <row r="21">
      <c r="A21" s="4" t="inlineStr">
        <is>
          <t>小計 ③-B 中小企業</t>
        </is>
      </c>
      <c r="B21" s="34" t="inlineStr">
        <is>
          <t>B</t>
        </is>
      </c>
      <c r="H21" s="21">
        <f>SUMIF($B$5:$B$18,"B",H$5:H$18)</f>
        <v/>
      </c>
      <c r="I21" s="21">
        <f>SUMIF($B$5:$B$18,"B",I$5:I$18)</f>
        <v/>
      </c>
      <c r="J21" s="28">
        <f>SUMIF($B$5:$B$18,"B",J$5:J$18)</f>
        <v/>
      </c>
    </row>
    <row r="22">
      <c r="A22" s="4" t="inlineStr">
        <is>
          <t>小計 ③-C オーダーメイド</t>
        </is>
      </c>
      <c r="B22" s="34" t="inlineStr">
        <is>
          <t>C</t>
        </is>
      </c>
      <c r="H22" s="21">
        <f>SUMIF($B$5:$B$18,"C",H$5:H$18)</f>
        <v/>
      </c>
      <c r="I22" s="21">
        <f>SUMIF($B$5:$B$18,"C",I$5:I$18)</f>
        <v/>
      </c>
      <c r="J22" s="28">
        <f>SUMIF($B$5:$B$18,"C",J$5:J$18)</f>
        <v/>
      </c>
    </row>
    <row r="23">
      <c r="A23" s="4" t="inlineStr">
        <is>
          <t>合計（②-Cの共食い前）</t>
        </is>
      </c>
      <c r="H23" s="6">
        <f>SUM(H20:H22)</f>
        <v/>
      </c>
      <c r="I23" s="6">
        <f>SUM(I20:I22)</f>
        <v/>
      </c>
      <c r="J23" s="31">
        <f>SUM(J20:J22)</f>
        <v/>
      </c>
    </row>
    <row r="24">
      <c r="A24" s="5" t="inlineStr">
        <is>
          <t xml:space="preserve">　− ②-Cセルフサーブによる共食い（③-A）</t>
        </is>
      </c>
      <c r="J24" s="36">
        <f>-J20*G35</f>
        <v/>
      </c>
      <c r="K24" s="7" t="inlineStr">
        <is>
          <t>③-Aの安い帯が②-Cに流れる分。下の期別GMVはこれを引いた後</t>
        </is>
      </c>
    </row>
    <row r="25">
      <c r="A25" s="4" t="inlineStr">
        <is>
          <t>5期GMV（共食い後）＝下の期別G列と一致</t>
        </is>
      </c>
      <c r="J25" s="31">
        <f>J23+J24</f>
        <v/>
      </c>
    </row>
    <row r="27">
      <c r="A27" s="12" t="inlineStr">
        <is>
          <t>手数料と原価率</t>
        </is>
      </c>
    </row>
    <row r="28">
      <c r="A28" s="4" t="inlineStr">
        <is>
          <t>手数料率</t>
        </is>
      </c>
      <c r="B28" s="37" t="n">
        <v>0.3</v>
      </c>
      <c r="K28" s="7" t="inlineStr">
        <is>
          <t>一律30%。70%をクリエイターに渡す（松田さん決定）</t>
        </is>
      </c>
    </row>
    <row r="29">
      <c r="A29" s="4" t="inlineStr">
        <is>
          <t>決済手数料率</t>
        </is>
      </c>
      <c r="B29" s="37" t="n">
        <v>0.0318</v>
      </c>
      <c r="K29" s="7" t="inlineStr">
        <is>
          <t>Stripe 国内カード3.6%／銀行振込1.5% を 80:20 で加重</t>
        </is>
      </c>
    </row>
    <row r="30">
      <c r="A30" s="4" t="inlineStr">
        <is>
          <t>期別</t>
        </is>
      </c>
      <c r="B30" s="37" t="n">
        <v>0.03</v>
      </c>
      <c r="K30" s="7" t="inlineStr">
        <is>
          <t>中国の制作パートナー経由（松田さん指示）</t>
        </is>
      </c>
    </row>
    <row r="31" ht="24" customHeight="1">
      <c r="A31" s="3" t="inlineStr">
        <is>
          <t>項目</t>
        </is>
      </c>
      <c r="B31" s="3" t="inlineStr"/>
      <c r="C31" s="3" t="inlineStr">
        <is>
          <t>1期</t>
        </is>
      </c>
      <c r="D31" s="3" t="inlineStr">
        <is>
          <t>2期</t>
        </is>
      </c>
      <c r="E31" s="3" t="inlineStr">
        <is>
          <t>3期</t>
        </is>
      </c>
      <c r="F31" s="3" t="inlineStr">
        <is>
          <t>4期</t>
        </is>
      </c>
      <c r="G31" s="3" t="inlineStr">
        <is>
          <t>5期</t>
        </is>
      </c>
      <c r="H31" s="3" t="inlineStr"/>
      <c r="I31" s="3" t="inlineStr"/>
      <c r="J31" s="3" t="inlineStr">
        <is>
          <t>考え方</t>
        </is>
      </c>
    </row>
    <row r="32">
      <c r="A32" s="5" t="inlineStr">
        <is>
          <t>ランプ ③-A</t>
        </is>
      </c>
      <c r="B32" s="5" t="inlineStr"/>
      <c r="C32" s="19" t="n">
        <v>0.01</v>
      </c>
      <c r="D32" s="19" t="n">
        <v>0.07000000000000001</v>
      </c>
      <c r="E32" s="19" t="n">
        <v>0.28</v>
      </c>
      <c r="F32" s="19" t="n">
        <v>0.62</v>
      </c>
      <c r="G32" s="19" t="n">
        <v>1</v>
      </c>
      <c r="K32" s="7" t="inlineStr">
        <is>
          <t>1期から。仲介が要らない</t>
        </is>
      </c>
    </row>
    <row r="33">
      <c r="A33" s="5" t="inlineStr">
        <is>
          <t>ランプ ③-B</t>
        </is>
      </c>
      <c r="B33" s="5" t="inlineStr"/>
      <c r="C33" s="19" t="n">
        <v>0</v>
      </c>
      <c r="D33" s="19" t="n">
        <v>0.04</v>
      </c>
      <c r="E33" s="19" t="n">
        <v>0.22</v>
      </c>
      <c r="F33" s="19" t="n">
        <v>0.58</v>
      </c>
      <c r="G33" s="19" t="n">
        <v>1</v>
      </c>
      <c r="K33" s="7" t="inlineStr">
        <is>
          <t>2期から</t>
        </is>
      </c>
    </row>
    <row r="34">
      <c r="A34" s="5" t="inlineStr">
        <is>
          <t>ランプ ③-C</t>
        </is>
      </c>
      <c r="B34" s="5" t="inlineStr"/>
      <c r="C34" s="19" t="n">
        <v>0</v>
      </c>
      <c r="D34" s="19" t="n">
        <v>0</v>
      </c>
      <c r="E34" s="19" t="n">
        <v>0.15</v>
      </c>
      <c r="F34" s="19" t="n">
        <v>0.55</v>
      </c>
      <c r="G34" s="19" t="n">
        <v>1</v>
      </c>
      <c r="K34" s="7" t="inlineStr">
        <is>
          <t>3期から。AI-botの開発後</t>
        </is>
      </c>
    </row>
    <row r="35">
      <c r="A35" s="5" t="inlineStr">
        <is>
          <t>②-Cセルフサーブの共食い係数</t>
        </is>
      </c>
      <c r="B35" s="5" t="inlineStr"/>
      <c r="C35" s="19" t="n">
        <v>0</v>
      </c>
      <c r="D35" s="19" t="n">
        <v>0.007</v>
      </c>
      <c r="E35" s="19" t="n">
        <v>0.032</v>
      </c>
      <c r="F35" s="19" t="n">
        <v>0.08799999999999999</v>
      </c>
      <c r="G35" s="19" t="n">
        <v>0.18</v>
      </c>
      <c r="K35" s="7" t="inlineStr">
        <is>
          <t>③-Aの件数に対して</t>
        </is>
      </c>
    </row>
    <row r="36">
      <c r="A36" s="5" t="inlineStr">
        <is>
          <t>③-A GMV（百万円）</t>
        </is>
      </c>
      <c r="B36" s="5" t="inlineStr"/>
      <c r="C36" s="23">
        <f>$J$20*C32*(1-C35)</f>
        <v/>
      </c>
      <c r="D36" s="23">
        <f>$J$20*D32*(1-D35)</f>
        <v/>
      </c>
      <c r="E36" s="23">
        <f>$J$20*E32*(1-E35)</f>
        <v/>
      </c>
      <c r="F36" s="23">
        <f>$J$20*F32*(1-F35)</f>
        <v/>
      </c>
      <c r="G36" s="23">
        <f>$J$20*G32*(1-G35)</f>
        <v/>
      </c>
    </row>
    <row r="37">
      <c r="A37" s="5" t="inlineStr">
        <is>
          <t>③-B GMV（百万円）</t>
        </is>
      </c>
      <c r="B37" s="5" t="inlineStr"/>
      <c r="C37" s="23">
        <f>$J$21*C33</f>
        <v/>
      </c>
      <c r="D37" s="23">
        <f>$J$21*D33</f>
        <v/>
      </c>
      <c r="E37" s="23">
        <f>$J$21*E33</f>
        <v/>
      </c>
      <c r="F37" s="23">
        <f>$J$21*F33</f>
        <v/>
      </c>
      <c r="G37" s="23">
        <f>$J$21*G33</f>
        <v/>
      </c>
    </row>
    <row r="38">
      <c r="A38" s="5" t="inlineStr">
        <is>
          <t>③-C GMV（百万円）</t>
        </is>
      </c>
      <c r="B38" s="5" t="inlineStr"/>
      <c r="C38" s="23">
        <f>$J$22*C34</f>
        <v/>
      </c>
      <c r="D38" s="23">
        <f>$J$22*D34</f>
        <v/>
      </c>
      <c r="E38" s="23">
        <f>$J$22*E34</f>
        <v/>
      </c>
      <c r="F38" s="23">
        <f>$J$22*F34</f>
        <v/>
      </c>
      <c r="G38" s="23">
        <f>$J$22*G34</f>
        <v/>
      </c>
    </row>
    <row r="39">
      <c r="A39" s="4" t="inlineStr">
        <is>
          <t>GMV 合計</t>
        </is>
      </c>
      <c r="B39" s="5" t="inlineStr"/>
      <c r="C39" s="23">
        <f>C36+C37+C38</f>
        <v/>
      </c>
      <c r="D39" s="23">
        <f>D36+D37+D38</f>
        <v/>
      </c>
      <c r="E39" s="23">
        <f>E36+E37+E38</f>
        <v/>
      </c>
      <c r="F39" s="23">
        <f>F36+F37+F38</f>
        <v/>
      </c>
      <c r="G39" s="23">
        <f>G36+G37+G38</f>
        <v/>
      </c>
    </row>
    <row r="40">
      <c r="A40" s="5" t="inlineStr">
        <is>
          <t>取引件数</t>
        </is>
      </c>
      <c r="B40" s="5" t="inlineStr"/>
      <c r="C40" s="23">
        <f>$H$20*C32*(1-C35)+$H$21*C33+$H$22*C34</f>
        <v/>
      </c>
      <c r="D40" s="23">
        <f>$H$20*D32*(1-D35)+$H$21*D33+$H$22*D34</f>
        <v/>
      </c>
      <c r="E40" s="23">
        <f>$H$20*E32*(1-E35)+$H$21*E33+$H$22*E34</f>
        <v/>
      </c>
      <c r="F40" s="23">
        <f>$H$20*F32*(1-F35)+$H$21*F33+$H$22*F34</f>
        <v/>
      </c>
      <c r="G40" s="23">
        <f>$H$20*G32*(1-G35)+$H$21*G33+$H$22*G34</f>
        <v/>
      </c>
    </row>
    <row r="41">
      <c r="A41" s="4" t="inlineStr">
        <is>
          <t>③ 売上（手数料30%）</t>
        </is>
      </c>
      <c r="B41" s="5" t="inlineStr"/>
      <c r="C41" s="6">
        <f>C39*$B$28</f>
        <v/>
      </c>
      <c r="D41" s="6">
        <f>D39*$B$28</f>
        <v/>
      </c>
      <c r="E41" s="6">
        <f>E39*$B$28</f>
        <v/>
      </c>
      <c r="F41" s="6">
        <f>F39*$B$28</f>
        <v/>
      </c>
      <c r="G41" s="6">
        <f>G39*$B$28</f>
        <v/>
      </c>
    </row>
    <row r="42">
      <c r="A42" s="5" t="inlineStr">
        <is>
          <t xml:space="preserve">　− 決済・送金・システム</t>
        </is>
      </c>
      <c r="B42" s="5" t="inlineStr"/>
      <c r="C42" s="23">
        <f>C39*($B$29+$B$30)+C40*'システム原価'!$H$29/1000000</f>
        <v/>
      </c>
      <c r="D42" s="23">
        <f>D39*($B$29+$B$30)+D40*'システム原価'!$H$29/1000000</f>
        <v/>
      </c>
      <c r="E42" s="23">
        <f>E39*($B$29+$B$30)+E40*'システム原価'!$H$29/1000000</f>
        <v/>
      </c>
      <c r="F42" s="23">
        <f>F39*($B$29+$B$30)+F40*'システム原価'!$H$29/1000000</f>
        <v/>
      </c>
      <c r="G42" s="23">
        <f>G39*($B$29+$B$30)+G40*'システム原価'!$H$29/1000000</f>
        <v/>
      </c>
    </row>
    <row r="43">
      <c r="A43" s="4" t="inlineStr">
        <is>
          <t>売上総利益</t>
        </is>
      </c>
      <c r="B43" s="5" t="inlineStr"/>
      <c r="C43" s="6">
        <f>C41-C42</f>
        <v/>
      </c>
      <c r="D43" s="6">
        <f>D41-D42</f>
        <v/>
      </c>
      <c r="E43" s="6">
        <f>E41-E42</f>
        <v/>
      </c>
      <c r="F43" s="6">
        <f>F41-F42</f>
        <v/>
      </c>
      <c r="G43" s="6">
        <f>G41-G42</f>
        <v/>
      </c>
    </row>
    <row r="44">
      <c r="A44" s="5" t="inlineStr">
        <is>
          <t>年間工数（時間）</t>
        </is>
      </c>
      <c r="B44" s="5" t="inlineStr"/>
      <c r="C44" s="23">
        <f>$I$20*C32*(1-C35)+$I$21*C33+$I$22*C34</f>
        <v/>
      </c>
      <c r="D44" s="23">
        <f>$I$20*D32*(1-D35)+$I$21*D33+$I$22*D34</f>
        <v/>
      </c>
      <c r="E44" s="23">
        <f>$I$20*E32*(1-E35)+$I$21*E33+$I$22*E34</f>
        <v/>
      </c>
      <c r="F44" s="23">
        <f>$I$20*F32*(1-F35)+$I$21*F33+$I$22*F34</f>
        <v/>
      </c>
      <c r="G44" s="23">
        <f>$I$20*G32*(1-G35)+$I$21*G33+$I$22*G34</f>
        <v/>
      </c>
    </row>
    <row r="46">
      <c r="A46" s="38" t="inlineStr">
        <is>
          <t>⚠ 全商品が上限で成約する前提。下限（クリエイターの留保価格）との差がそのまま利幅になる。供給が厚いほど競争で下限側に寄るのが市場の常なので、ここは最も強気の置き方。中点なら③のGMVは約57%、全部が下限なら約5%になる。</t>
        </is>
      </c>
    </row>
    <row r="47">
      <c r="A47" s="12" t="inlineStr">
        <is>
          <t>ACV / ARR — ③は取引ベースなのでARRはゼロ</t>
        </is>
      </c>
    </row>
    <row r="48" ht="24" customHeight="1">
      <c r="A48" s="3" t="inlineStr">
        <is>
          <t>項目</t>
        </is>
      </c>
      <c r="B48" s="3" t="inlineStr"/>
      <c r="C48" s="3" t="inlineStr">
        <is>
          <t>1期</t>
        </is>
      </c>
      <c r="D48" s="3" t="inlineStr">
        <is>
          <t>2期</t>
        </is>
      </c>
      <c r="E48" s="3" t="inlineStr">
        <is>
          <t>3期</t>
        </is>
      </c>
      <c r="F48" s="3" t="inlineStr">
        <is>
          <t>4期</t>
        </is>
      </c>
      <c r="G48" s="3" t="inlineStr">
        <is>
          <t>5期</t>
        </is>
      </c>
      <c r="H48" s="3" t="inlineStr"/>
      <c r="I48" s="3" t="inlineStr"/>
      <c r="J48" s="3" t="inlineStr">
        <is>
          <t>考え方</t>
        </is>
      </c>
    </row>
    <row r="49">
      <c r="A49" s="4" t="inlineStr">
        <is>
          <t>③ ARR（百万円）</t>
        </is>
      </c>
      <c r="B49" s="5" t="inlineStr"/>
      <c r="C49" s="23">
        <f>0</f>
        <v/>
      </c>
      <c r="D49" s="23">
        <f>0</f>
        <v/>
      </c>
      <c r="E49" s="23">
        <f>0</f>
        <v/>
      </c>
      <c r="F49" s="23">
        <f>0</f>
        <v/>
      </c>
      <c r="G49" s="23">
        <f>0</f>
        <v/>
      </c>
      <c r="K49" s="7" t="inlineStr">
        <is>
          <t>取引手数料。契約ではないのでARRに算入できない</t>
        </is>
      </c>
    </row>
    <row r="50">
      <c r="A50" s="4" t="inlineStr">
        <is>
          <t>③ 非継続（百万円）</t>
        </is>
      </c>
      <c r="B50" s="5" t="inlineStr"/>
      <c r="C50" s="23">
        <f>C41</f>
        <v/>
      </c>
      <c r="D50" s="23">
        <f>D41</f>
        <v/>
      </c>
      <c r="E50" s="23">
        <f>E41</f>
        <v/>
      </c>
      <c r="F50" s="23">
        <f>F41</f>
        <v/>
      </c>
      <c r="G50" s="23">
        <f>G41</f>
        <v/>
      </c>
      <c r="K50" s="7" t="inlineStr">
        <is>
          <t>全額が取引ベース</t>
        </is>
      </c>
    </row>
    <row r="52">
      <c r="A52" s="2" t="inlineStr">
        <is>
          <t>マーケットプレイスはARRでは評価されない。見るのは GMV・取引件数・手数料率・そして発注者のリピート率。リピート率はまだモデルに入っていない。★次に詰めるならここ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52" customWidth="1" min="8" max="8"/>
  </cols>
  <sheetData>
    <row r="1">
      <c r="A1" s="1" t="inlineStr">
        <is>
          <t>人員と人件費（社員はPM中心）</t>
        </is>
      </c>
    </row>
    <row r="2">
      <c r="A2" s="2" t="inlineStr">
        <is>
          <t>開発は中国・ベトナム・東欧への業務委託。社員として抱えるのはPM。制作ディレクション・CS・オペレーションも業務委託／BPO。管理はAX化で極小。</t>
        </is>
      </c>
    </row>
    <row r="3" ht="24" customHeight="1">
      <c r="A3" s="3" t="inlineStr">
        <is>
          <t>職種</t>
        </is>
      </c>
      <c r="B3" s="3" t="inlineStr">
        <is>
          <t>年収(万円)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5" t="inlineStr">
        <is>
          <t>経営・CxO</t>
        </is>
      </c>
      <c r="B4" s="18" t="n">
        <v>900</v>
      </c>
      <c r="C4" s="18" t="n">
        <v>1</v>
      </c>
      <c r="D4" s="18" t="n">
        <v>1</v>
      </c>
      <c r="E4" s="18" t="n">
        <v>2</v>
      </c>
      <c r="F4" s="18" t="n">
        <v>3</v>
      </c>
      <c r="G4" s="18" t="n">
        <v>3</v>
      </c>
      <c r="H4" s="7" t="inlineStr">
        <is>
          <t>代表＋CFO／CTO級</t>
        </is>
      </c>
    </row>
    <row r="5">
      <c r="A5" s="5" t="inlineStr">
        <is>
          <t>モデル開発PM</t>
        </is>
      </c>
      <c r="B5" s="18" t="n">
        <v>950</v>
      </c>
      <c r="C5" s="21">
        <f>C41</f>
        <v/>
      </c>
      <c r="D5" s="21">
        <f>D41</f>
        <v/>
      </c>
      <c r="E5" s="21">
        <f>E41</f>
        <v/>
      </c>
      <c r="F5" s="21">
        <f>F41</f>
        <v/>
      </c>
      <c r="G5" s="21">
        <f>G41</f>
        <v/>
      </c>
      <c r="H5" s="7" t="inlineStr">
        <is>
          <t>オフショアチームを率いる。人数はAX後のエンジニア数から逆算</t>
        </is>
      </c>
    </row>
    <row r="6">
      <c r="A6" s="5" t="inlineStr">
        <is>
          <t>制作統括</t>
        </is>
      </c>
      <c r="B6" s="18" t="n">
        <v>650</v>
      </c>
      <c r="C6" s="18" t="n">
        <v>1</v>
      </c>
      <c r="D6" s="18" t="n">
        <v>2</v>
      </c>
      <c r="E6" s="18" t="n">
        <v>3</v>
      </c>
      <c r="F6" s="18" t="n">
        <v>3</v>
      </c>
      <c r="G6" s="18" t="n">
        <v>3</v>
      </c>
      <c r="H6" s="7" t="inlineStr">
        <is>
          <t>業務委託ディレクターの束ね役</t>
        </is>
      </c>
    </row>
    <row r="7">
      <c r="A7" s="5" t="inlineStr">
        <is>
          <t>事業開発・アライアンス</t>
        </is>
      </c>
      <c r="B7" s="18" t="n">
        <v>700</v>
      </c>
      <c r="C7" s="18" t="n">
        <v>1</v>
      </c>
      <c r="D7" s="18" t="n">
        <v>2</v>
      </c>
      <c r="E7" s="18" t="n">
        <v>4</v>
      </c>
      <c r="F7" s="18" t="n">
        <v>5</v>
      </c>
      <c r="G7" s="18" t="n">
        <v>6</v>
      </c>
      <c r="H7" s="7" t="inlineStr">
        <is>
          <t>営業体制シートの直販人員と同じ</t>
        </is>
      </c>
    </row>
    <row r="8">
      <c r="A8" s="5" t="inlineStr">
        <is>
          <t>クリエイターネットワーク統括</t>
        </is>
      </c>
      <c r="B8" s="18" t="n">
        <v>600</v>
      </c>
      <c r="C8" s="18" t="n">
        <v>1</v>
      </c>
      <c r="D8" s="18" t="n">
        <v>1</v>
      </c>
      <c r="E8" s="18" t="n">
        <v>2</v>
      </c>
      <c r="F8" s="18" t="n">
        <v>3</v>
      </c>
      <c r="G8" s="18" t="n">
        <v>3</v>
      </c>
      <c r="H8" s="7" t="inlineStr">
        <is>
          <t>中国パートナー・登録クリエイター管理</t>
        </is>
      </c>
    </row>
    <row r="9">
      <c r="A9" s="5" t="inlineStr">
        <is>
          <t>管理・コーポレート</t>
        </is>
      </c>
      <c r="B9" s="18" t="n">
        <v>550</v>
      </c>
      <c r="C9" s="18" t="n">
        <v>0</v>
      </c>
      <c r="D9" s="18" t="n">
        <v>1</v>
      </c>
      <c r="E9" s="18" t="n">
        <v>1</v>
      </c>
      <c r="F9" s="18" t="n">
        <v>2</v>
      </c>
      <c r="G9" s="18" t="n">
        <v>3</v>
      </c>
      <c r="H9" s="7" t="inlineStr">
        <is>
          <t>AX化で極小。取引処理はBPO、専門領域は社外の顧問</t>
        </is>
      </c>
    </row>
    <row r="10">
      <c r="A10" s="4" t="inlineStr">
        <is>
          <t>社員数 合計</t>
        </is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1">
      <c r="A11" s="4" t="inlineStr">
        <is>
          <t>人件費（百万円）</t>
        </is>
      </c>
      <c r="C11" s="21">
        <f>SUMPRODUCT($B$4:$B$9,C4:C9)*'前提'!$C$17/100</f>
        <v/>
      </c>
      <c r="D11" s="21">
        <f>SUMPRODUCT($B$4:$B$9,D4:D9)*'前提'!$D$17/100</f>
        <v/>
      </c>
      <c r="E11" s="21">
        <f>SUMPRODUCT($B$4:$B$9,E4:E9)*'前提'!$E$17/100</f>
        <v/>
      </c>
      <c r="F11" s="21">
        <f>SUMPRODUCT($B$4:$B$9,F4:F9)*'前提'!$F$17/100</f>
        <v/>
      </c>
      <c r="G11" s="21">
        <f>SUMPRODUCT($B$4:$B$9,G4:G9)*'前提'!$G$17/100</f>
        <v/>
      </c>
    </row>
    <row r="12">
      <c r="A12" s="4" t="inlineStr">
        <is>
          <t>1人あたり人件費（万円）</t>
        </is>
      </c>
      <c r="C12" s="23">
        <f>IF(C10=0,0,C11*100/C10)</f>
        <v/>
      </c>
      <c r="D12" s="23">
        <f>IF(D10=0,0,D11*100/D10)</f>
        <v/>
      </c>
      <c r="E12" s="23">
        <f>IF(E10=0,0,E11*100/E10)</f>
        <v/>
      </c>
      <c r="F12" s="23">
        <f>IF(F10=0,0,F11*100/F10)</f>
        <v/>
      </c>
      <c r="G12" s="23">
        <f>IF(G10=0,0,G11*100/G10)</f>
        <v/>
      </c>
    </row>
    <row r="14">
      <c r="A14" s="12" t="inlineStr">
        <is>
          <t>参考：社員ではない人たち</t>
        </is>
      </c>
    </row>
    <row r="15" ht="24" customHeight="1">
      <c r="A15" s="3" t="inlineStr">
        <is>
          <t>区分</t>
        </is>
      </c>
      <c r="B15" s="3" t="inlineStr"/>
      <c r="C15" s="3" t="inlineStr">
        <is>
          <t>1期</t>
        </is>
      </c>
      <c r="D15" s="3" t="inlineStr">
        <is>
          <t>2期</t>
        </is>
      </c>
      <c r="E15" s="3" t="inlineStr">
        <is>
          <t>3期</t>
        </is>
      </c>
      <c r="F15" s="3" t="inlineStr">
        <is>
          <t>4期</t>
        </is>
      </c>
      <c r="G15" s="3" t="inlineStr">
        <is>
          <t>5期</t>
        </is>
      </c>
      <c r="H15" s="3" t="inlineStr">
        <is>
          <t>考え方</t>
        </is>
      </c>
    </row>
    <row r="16">
      <c r="A16" s="5" t="inlineStr">
        <is>
          <t>業務委託ディレクション（人）</t>
        </is>
      </c>
      <c r="C16" s="29">
        <f>'商品マスタ①'!I12*(1/120+1/90)*'商品マスタ①'!I10/'前提'!$C$4</f>
        <v/>
      </c>
      <c r="D16" s="29">
        <f>'商品マスタ①'!J12*(1/120+1/90)*'商品マスタ①'!J10/'前提'!$D$4</f>
        <v/>
      </c>
      <c r="E16" s="29">
        <f>'商品マスタ①'!K12*(1/120+1/90)*'商品マスタ①'!K10/'前提'!$E$4</f>
        <v/>
      </c>
      <c r="F16" s="29">
        <f>'商品マスタ①'!L12*(1/120+1/90)*'商品マスタ①'!L10/'前提'!$F$4</f>
        <v/>
      </c>
      <c r="G16" s="29">
        <f>'商品マスタ①'!M12*(1/120+1/90)*'商品マスタ①'!M10/'前提'!$G$4</f>
        <v/>
      </c>
      <c r="H16" s="7" t="inlineStr">
        <is>
          <t>本数 ×（1/120＋1/90）× 難度 ÷ AX倍率</t>
        </is>
      </c>
    </row>
    <row r="17">
      <c r="A17" s="5" t="inlineStr">
        <is>
          <t>中国クリエイター 必要稼働（人）</t>
        </is>
      </c>
      <c r="C17" s="8">
        <f>('商品マスタ③'!C44+'商品マスタ①'!I15*1000000/4000)/1800</f>
        <v/>
      </c>
      <c r="D17" s="8">
        <f>('商品マスタ③'!D44+'商品マスタ①'!J15*1000000/4000)/1800</f>
        <v/>
      </c>
      <c r="E17" s="8">
        <f>('商品マスタ③'!E44+'商品マスタ①'!K15*1000000/4000)/1800</f>
        <v/>
      </c>
      <c r="F17" s="8">
        <f>('商品マスタ③'!F44+'商品マスタ①'!L15*1000000/4000)/1800</f>
        <v/>
      </c>
      <c r="G17" s="8">
        <f>('商品マスタ③'!G44+'商品マスタ①'!M15*1000000/4000)/1800</f>
        <v/>
      </c>
      <c r="H17" s="7" t="inlineStr">
        <is>
          <t>（③の年間工数 ＋ ①のクリエイター支払÷実効時給4,000円）÷ 年1,800時間</t>
        </is>
      </c>
    </row>
    <row r="18">
      <c r="A18" s="4" t="inlineStr">
        <is>
          <t>中国クリエイター 登録（人）</t>
        </is>
      </c>
      <c r="C18" s="39" t="n">
        <v>30</v>
      </c>
      <c r="D18" s="39" t="n">
        <v>120</v>
      </c>
      <c r="E18" s="39" t="n">
        <v>500</v>
      </c>
      <c r="F18" s="39" t="n">
        <v>1200</v>
      </c>
      <c r="G18" s="39" t="n">
        <v>2000</v>
      </c>
      <c r="H18" s="7" t="inlineStr">
        <is>
          <t>★採用計画。1期30名は松田さんの指示。工数から導出される数ではない</t>
        </is>
      </c>
    </row>
    <row r="19">
      <c r="A19" s="5" t="inlineStr">
        <is>
          <t xml:space="preserve">　稼働率</t>
        </is>
      </c>
      <c r="C19" s="10">
        <f>IF(C18=0,0,C17/C18)</f>
        <v/>
      </c>
      <c r="D19" s="10">
        <f>IF(D18=0,0,D17/D18)</f>
        <v/>
      </c>
      <c r="E19" s="10">
        <f>IF(E18=0,0,E17/E18)</f>
        <v/>
      </c>
      <c r="F19" s="10">
        <f>IF(F18=0,0,F17/F18)</f>
        <v/>
      </c>
      <c r="G19" s="10">
        <f>IF(G18=0,0,G17/G18)</f>
        <v/>
      </c>
      <c r="H19" s="7" t="inlineStr">
        <is>
          <t>必要稼働 ÷ 登録。立ち上げ期は低く、市場が育つと上がる</t>
        </is>
      </c>
    </row>
    <row r="21">
      <c r="A21" s="2" t="inlineStr">
        <is>
          <t>⚠ 登録数は工数から出る数字ではなく採用計画。先に人を集めないと受注できないので、立ち上げ期は必要稼働より多く抱える。5年で約2,000名（中国の微短劇就業者69万人の0.3%）。年400〜800名を新規登録させる採用オペレーションが要る。</t>
        </is>
      </c>
    </row>
    <row r="23">
      <c r="A23" s="12" t="inlineStr">
        <is>
          <t>オフショア開発（業務委託）— ベトナム内のピラミッド</t>
        </is>
      </c>
    </row>
    <row r="24" ht="24" customHeight="1">
      <c r="A24" s="3" t="inlineStr">
        <is>
          <t>国・職位</t>
        </is>
      </c>
      <c r="B24" s="3" t="inlineStr">
        <is>
          <t>月額(万)</t>
        </is>
      </c>
      <c r="C24" s="3" t="inlineStr">
        <is>
          <t>構成比</t>
        </is>
      </c>
      <c r="D24" s="3" t="inlineStr"/>
      <c r="E24" s="3" t="inlineStr"/>
      <c r="F24" s="3" t="inlineStr"/>
      <c r="G24" s="3" t="inlineStr"/>
      <c r="H24" s="3" t="inlineStr">
        <is>
          <t>出所・考え方</t>
        </is>
      </c>
    </row>
    <row r="25">
      <c r="A25" s="5" t="inlineStr">
        <is>
          <t>ベトナム ブリッジSE</t>
        </is>
      </c>
      <c r="B25" s="25" t="n">
        <v>59</v>
      </c>
      <c r="C25" s="19" t="n">
        <v>0.2</v>
      </c>
      <c r="H25" s="7" t="inlineStr">
        <is>
          <t>オフショア開発.com 2026。レビューと設計を担う上位層</t>
        </is>
      </c>
    </row>
    <row r="26">
      <c r="A26" s="5" t="inlineStr">
        <is>
          <t>ベトナム プログラマー</t>
        </is>
      </c>
      <c r="B26" s="25" t="n">
        <v>40.1</v>
      </c>
      <c r="C26" s="19" t="n">
        <v>0.8</v>
      </c>
      <c r="H26" s="7" t="inlineStr">
        <is>
          <t>同上。実装を担う</t>
        </is>
      </c>
    </row>
    <row r="27">
      <c r="A27" s="5" t="inlineStr">
        <is>
          <t>インド ブリッジSE</t>
        </is>
      </c>
      <c r="B27" s="25" t="n">
        <v>60</v>
      </c>
      <c r="C27" s="19" t="n">
        <v>0</v>
      </c>
      <c r="H27" s="7" t="inlineStr">
        <is>
          <t>参考。上位層で入れる場合</t>
        </is>
      </c>
    </row>
    <row r="28">
      <c r="A28" s="5" t="inlineStr">
        <is>
          <t>インド プログラマー</t>
        </is>
      </c>
      <c r="B28" s="25" t="n">
        <v>37.5</v>
      </c>
      <c r="C28" s="19" t="n">
        <v>0</v>
      </c>
      <c r="H28" s="7" t="inlineStr">
        <is>
          <t>参考。ミドルを別国にすると継ぎ目が増える</t>
        </is>
      </c>
    </row>
    <row r="29">
      <c r="A29" s="5" t="inlineStr">
        <is>
          <t>中国 シニア</t>
        </is>
      </c>
      <c r="B29" s="25" t="n">
        <v>71.7</v>
      </c>
      <c r="C29" s="19" t="n">
        <v>0</v>
      </c>
      <c r="H29" s="7" t="inlineStr">
        <is>
          <t>参考。ベトナムBSEより21%高い</t>
        </is>
      </c>
    </row>
    <row r="30">
      <c r="A30" s="5" t="inlineStr">
        <is>
          <t>東欧 シニア</t>
        </is>
      </c>
      <c r="B30" s="25" t="n">
        <v>104</v>
      </c>
      <c r="C30" s="19" t="n">
        <v>0</v>
      </c>
      <c r="H30" s="7" t="inlineStr">
        <is>
          <t>参考。最も高い</t>
        </is>
      </c>
    </row>
    <row r="31">
      <c r="A31" s="4" t="inlineStr">
        <is>
          <t>構成比 合計</t>
        </is>
      </c>
      <c r="C31" s="40">
        <f>SUM(C25:C30)</f>
        <v/>
      </c>
    </row>
    <row r="32">
      <c r="A32" s="4" t="inlineStr">
        <is>
          <t>加重単価（万円/年）</t>
        </is>
      </c>
      <c r="B32" s="6">
        <f>SUMPRODUCT(B25:B30,C25:C30)*12</f>
        <v/>
      </c>
      <c r="H32" s="7" t="inlineStr">
        <is>
          <t>ブリッジSE 20% ＋ プログラマー 80%</t>
        </is>
      </c>
    </row>
    <row r="33">
      <c r="A33" s="2" t="inlineStr">
        <is>
          <t>⚠ ピラミッドはベトナム内で組む。シニアがミドルをレビューする接点は最もコミュニケーション量が多いので、そこに国・言語・ベンダーの継ぎ目を置かない。社員PMの下が2層で収まる。</t>
        </is>
      </c>
    </row>
    <row r="34">
      <c r="A34" s="38" t="inlineStr">
        <is>
          <t>⚠ 安い順は ミャンマー(40)＜インド(45)＜フィリピン(47.5)＜ベトナム(50)＜中国(71.7)＜東欧(104)。ロシア・ベラルーシは外為法の役務取引規制（2022/3/18〜）で対象外。単価の問題ではない。</t>
        </is>
      </c>
    </row>
    <row r="36">
      <c r="A36" s="12" t="inlineStr">
        <is>
          <t>エンジニアのAX化 — 人数を減らして単価の高い層に寄せる</t>
        </is>
      </c>
    </row>
    <row r="37" ht="24" customHeight="1">
      <c r="A37" s="3" t="inlineStr">
        <is>
          <t>項目</t>
        </is>
      </c>
      <c r="B37" s="3" t="inlineStr"/>
      <c r="C37" s="3" t="inlineStr">
        <is>
          <t>1期</t>
        </is>
      </c>
      <c r="D37" s="3" t="inlineStr">
        <is>
          <t>2期</t>
        </is>
      </c>
      <c r="E37" s="3" t="inlineStr">
        <is>
          <t>3期</t>
        </is>
      </c>
      <c r="F37" s="3" t="inlineStr">
        <is>
          <t>4期</t>
        </is>
      </c>
      <c r="G37" s="3" t="inlineStr">
        <is>
          <t>5期</t>
        </is>
      </c>
      <c r="H37" s="3" t="inlineStr">
        <is>
          <t>考え方</t>
        </is>
      </c>
    </row>
    <row r="38">
      <c r="A38" s="5" t="inlineStr">
        <is>
          <t>必要開発工数（AXなし換算・人年）</t>
        </is>
      </c>
      <c r="B38" s="5" t="inlineStr"/>
      <c r="C38" s="18" t="n">
        <v>5</v>
      </c>
      <c r="D38" s="18" t="n">
        <v>10</v>
      </c>
      <c r="E38" s="18" t="n">
        <v>20</v>
      </c>
      <c r="F38" s="18" t="n">
        <v>30</v>
      </c>
      <c r="G38" s="18" t="n">
        <v>40</v>
      </c>
      <c r="H38" s="7" t="inlineStr">
        <is>
          <t>★プロダクト規模から</t>
        </is>
      </c>
    </row>
    <row r="39">
      <c r="A39" s="5" t="inlineStr">
        <is>
          <t>★ エンジニアのAX倍率</t>
        </is>
      </c>
      <c r="B39" s="5" t="inlineStr"/>
      <c r="C39" s="25" t="n">
        <v>1</v>
      </c>
      <c r="D39" s="25" t="n">
        <v>1.2</v>
      </c>
      <c r="E39" s="25" t="n">
        <v>1.5</v>
      </c>
      <c r="F39" s="25" t="n">
        <v>1.9</v>
      </c>
      <c r="G39" s="25" t="n">
        <v>2.2</v>
      </c>
      <c r="H39" s="7" t="inlineStr">
        <is>
          <t>★ミドル中心なのでレビューがボトルネックになる。制作(4.0)より低く置く</t>
        </is>
      </c>
    </row>
    <row r="40">
      <c r="A40" s="5" t="inlineStr">
        <is>
          <t>実エンジニア数（委託）</t>
        </is>
      </c>
      <c r="B40" s="5" t="inlineStr"/>
      <c r="C40" s="23">
        <f>ROUNDUP(C38/C39,0)</f>
        <v/>
      </c>
      <c r="D40" s="23">
        <f>ROUNDUP(D38/D39,0)</f>
        <v/>
      </c>
      <c r="E40" s="23">
        <f>ROUNDUP(E38/E39,0)</f>
        <v/>
      </c>
      <c r="F40" s="23">
        <f>ROUNDUP(F38/F39,0)</f>
        <v/>
      </c>
      <c r="G40" s="23">
        <f>ROUNDUP(G38/G39,0)</f>
        <v/>
      </c>
      <c r="H40" s="7" t="inlineStr">
        <is>
          <t>必要工数 ÷ AX倍率</t>
        </is>
      </c>
    </row>
    <row r="41">
      <c r="A41" s="5" t="inlineStr">
        <is>
          <t>PM（社員）</t>
        </is>
      </c>
      <c r="B41" s="5" t="inlineStr"/>
      <c r="C41" s="23">
        <f>ROUNDUP(C40/5,0)</f>
        <v/>
      </c>
      <c r="D41" s="23">
        <f>ROUNDUP(D40/5,0)</f>
        <v/>
      </c>
      <c r="E41" s="23">
        <f>ROUNDUP(E40/5,0)</f>
        <v/>
      </c>
      <c r="F41" s="23">
        <f>ROUNDUP(F40/5,0)</f>
        <v/>
      </c>
      <c r="G41" s="23">
        <f>ROUNDUP(G40/5,0)</f>
        <v/>
      </c>
      <c r="H41" s="7" t="inlineStr">
        <is>
          <t>1名で5名を見る。上の人件費表はここを参照</t>
        </is>
      </c>
    </row>
    <row r="42">
      <c r="A42" s="4" t="inlineStr">
        <is>
          <t>開発委託費（百万円）</t>
        </is>
      </c>
      <c r="B42" s="5" t="inlineStr"/>
      <c r="C42" s="6">
        <f>C40*$B$32/100</f>
        <v/>
      </c>
      <c r="D42" s="6">
        <f>D40*$B$32/100</f>
        <v/>
      </c>
      <c r="E42" s="6">
        <f>E40*$B$32/100</f>
        <v/>
      </c>
      <c r="F42" s="6">
        <f>F40*$B$32/100</f>
        <v/>
      </c>
      <c r="G42" s="6">
        <f>G40*$B$32/100</f>
        <v/>
      </c>
      <c r="H42" s="7" t="inlineStr">
        <is>
          <t>実人数 × 加重単価</t>
        </is>
      </c>
    </row>
    <row r="44">
      <c r="A44" s="2" t="inlineStr">
        <is>
          <t>旧構成は社員40名。PM4名＋委託19名になる。加重単価は年527万で、中国シニア20%＋ベトナムミドル80%（557万）より安く、継ぎ目もない。</t>
        </is>
      </c>
    </row>
    <row r="45">
      <c r="A45" s="38" t="inlineStr">
        <is>
          <t>⚠ 管理・コーポレート3名は、5期に上場会社として内部統制報告制度の対象になる規模には薄い。取引処理はBPOに出す前提だが、内部統制の設計・運用・評価は社員の仕事。監査法人と主幹事に早期に当てること。★確認事項</t>
        </is>
      </c>
    </row>
    <row r="47">
      <c r="A47" s="12" t="inlineStr">
        <is>
          <t>社外の専門家を前提にするなら、その費用が見えている必要がある</t>
        </is>
      </c>
    </row>
    <row r="48">
      <c r="A48" s="2" t="inlineStr">
        <is>
          <t>管理3名で回るのは顧問弁護士・監査法人・社労士が外にいるから。その費用は「その他販管費（売上の4%）」に入っている。5期で足りるかの検算。</t>
        </is>
      </c>
    </row>
    <row r="49" ht="24" customHeight="1">
      <c r="A49" s="3" t="inlineStr">
        <is>
          <t>費目</t>
        </is>
      </c>
      <c r="B49" s="3" t="inlineStr">
        <is>
          <t>下限</t>
        </is>
      </c>
      <c r="C49" s="3" t="inlineStr">
        <is>
          <t>上限</t>
        </is>
      </c>
      <c r="D49" s="3" t="inlineStr"/>
      <c r="E49" s="3" t="inlineStr"/>
      <c r="F49" s="3" t="inlineStr"/>
      <c r="G49" s="3" t="inlineStr"/>
      <c r="H49" s="3" t="inlineStr">
        <is>
          <t>備考</t>
        </is>
      </c>
    </row>
    <row r="50">
      <c r="A50" s="5" t="inlineStr">
        <is>
          <t>監査報酬（上場後）</t>
        </is>
      </c>
      <c r="B50" s="18" t="n">
        <v>40</v>
      </c>
      <c r="C50" s="18" t="n">
        <v>70</v>
      </c>
      <c r="H50" s="7" t="inlineStr">
        <is>
          <t>上場会社・売上108億規模</t>
        </is>
      </c>
    </row>
    <row r="51">
      <c r="A51" s="5" t="inlineStr">
        <is>
          <t>株式事務代行・IR</t>
        </is>
      </c>
      <c r="B51" s="18" t="n">
        <v>20</v>
      </c>
      <c r="C51" s="18" t="n">
        <v>40</v>
      </c>
      <c r="H51" s="7" t="inlineStr">
        <is>
          <t>信託銀行・開示書類・説明会</t>
        </is>
      </c>
    </row>
    <row r="52">
      <c r="A52" s="5" t="inlineStr">
        <is>
          <t>顧問弁護士</t>
        </is>
      </c>
      <c r="B52" s="18" t="n">
        <v>12</v>
      </c>
      <c r="C52" s="18" t="n">
        <v>30</v>
      </c>
      <c r="H52" s="7" t="inlineStr">
        <is>
          <t>契約審査・中国パートナー・業務委託設計</t>
        </is>
      </c>
    </row>
    <row r="53">
      <c r="A53" s="5" t="inlineStr">
        <is>
          <t>税理士・社会保険労務士</t>
        </is>
      </c>
      <c r="B53" s="18" t="n">
        <v>6</v>
      </c>
      <c r="C53" s="18" t="n">
        <v>12</v>
      </c>
      <c r="H53" s="7" t="inlineStr"/>
    </row>
    <row r="54">
      <c r="A54" s="5" t="inlineStr">
        <is>
          <t>オフィス（社員22名）</t>
        </is>
      </c>
      <c r="B54" s="18" t="n">
        <v>30</v>
      </c>
      <c r="C54" s="18" t="n">
        <v>50</v>
      </c>
      <c r="H54" s="7" t="inlineStr"/>
    </row>
    <row r="55">
      <c r="A55" s="5" t="inlineStr">
        <is>
          <t>SaaS・通信・インフラ（非開発）</t>
        </is>
      </c>
      <c r="B55" s="18" t="n">
        <v>20</v>
      </c>
      <c r="C55" s="18" t="n">
        <v>40</v>
      </c>
      <c r="H55" s="7" t="inlineStr"/>
    </row>
    <row r="56">
      <c r="A56" s="5" t="inlineStr">
        <is>
          <t>採用・教育</t>
        </is>
      </c>
      <c r="B56" s="18" t="n">
        <v>30</v>
      </c>
      <c r="C56" s="18" t="n">
        <v>60</v>
      </c>
      <c r="H56" s="7" t="inlineStr">
        <is>
          <t>PM・統括級の採用は単価が高い</t>
        </is>
      </c>
    </row>
    <row r="57">
      <c r="A57" s="5" t="inlineStr">
        <is>
          <t>旅費交通</t>
        </is>
      </c>
      <c r="B57" s="18" t="n">
        <v>30</v>
      </c>
      <c r="C57" s="18" t="n">
        <v>60</v>
      </c>
      <c r="H57" s="7" t="inlineStr">
        <is>
          <t>ベトナム・インド往復</t>
        </is>
      </c>
    </row>
    <row r="58">
      <c r="A58" s="5" t="inlineStr">
        <is>
          <t>保険・その他</t>
        </is>
      </c>
      <c r="B58" s="18" t="n">
        <v>20</v>
      </c>
      <c r="C58" s="18" t="n">
        <v>40</v>
      </c>
      <c r="H58" s="7" t="inlineStr"/>
    </row>
    <row r="59">
      <c r="A59" s="4" t="inlineStr">
        <is>
          <t>合計（百万円）</t>
        </is>
      </c>
      <c r="B59" s="21">
        <f>SUM(B50:B58)</f>
        <v/>
      </c>
      <c r="C59" s="21">
        <f>SUM(C50:C58)</f>
        <v/>
      </c>
    </row>
    <row r="60">
      <c r="A60" s="4" t="inlineStr">
        <is>
          <t>その他販管費（5期・売上の4%）</t>
        </is>
      </c>
      <c r="C60" s="6">
        <f>'損益計算書'!G27</f>
        <v/>
      </c>
    </row>
    <row r="61">
      <c r="A61" s="4" t="inlineStr">
        <is>
          <t>判定</t>
        </is>
      </c>
      <c r="C61" s="34">
        <f>IF(C60&gt;=C59,"○ 上限まで賄える","× 足りない")</f>
        <v/>
      </c>
      <c r="H61" s="7" t="inlineStr">
        <is>
          <t>★費目はすべて私の見積もり。実際の見積を取ったものではない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5年損益計算書（単位：百万円）</t>
        </is>
      </c>
    </row>
    <row r="2">
      <c r="A2" s="2" t="inlineStr">
        <is>
          <t>全て数式。商品マスタ①②③・営業体制・人員・システム原価を参照している。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5" t="inlineStr">
        <is>
          <t>① 映像制作</t>
        </is>
      </c>
      <c r="B4" s="5" t="inlineStr"/>
      <c r="C4" s="8">
        <f>'商品マスタ①'!I13</f>
        <v/>
      </c>
      <c r="D4" s="8">
        <f>'商品マスタ①'!J13</f>
        <v/>
      </c>
      <c r="E4" s="8">
        <f>'商品マスタ①'!K13</f>
        <v/>
      </c>
      <c r="F4" s="8">
        <f>'商品マスタ①'!L13</f>
        <v/>
      </c>
      <c r="G4" s="8">
        <f>'商品マスタ①'!M13</f>
        <v/>
      </c>
      <c r="H4" s="7" t="inlineStr">
        <is>
          <t>4商品の積み上げ（商品マスタ①）</t>
        </is>
      </c>
    </row>
    <row r="5">
      <c r="A5" s="5" t="inlineStr">
        <is>
          <t xml:space="preserve">　受注本数（本）</t>
        </is>
      </c>
      <c r="B5" s="5" t="inlineStr"/>
      <c r="C5" s="8">
        <f>'商品マスタ①'!I12</f>
        <v/>
      </c>
      <c r="D5" s="8">
        <f>'商品マスタ①'!J12</f>
        <v/>
      </c>
      <c r="E5" s="8">
        <f>'商品マスタ①'!K12</f>
        <v/>
      </c>
      <c r="F5" s="8">
        <f>'商品マスタ①'!L12</f>
        <v/>
      </c>
      <c r="G5" s="8">
        <f>'商品マスタ①'!M12</f>
        <v/>
      </c>
      <c r="H5" s="7" t="inlineStr">
        <is>
          <t>営業体制からの積み上げ</t>
        </is>
      </c>
    </row>
    <row r="6">
      <c r="A6" s="5" t="inlineStr">
        <is>
          <t xml:space="preserve">　平均単価（万円）</t>
        </is>
      </c>
      <c r="B6" s="5" t="inlineStr"/>
      <c r="C6" s="29">
        <f>'商品マスタ①'!I9</f>
        <v/>
      </c>
      <c r="D6" s="29">
        <f>'商品マスタ①'!J9</f>
        <v/>
      </c>
      <c r="E6" s="29">
        <f>'商品マスタ①'!K9</f>
        <v/>
      </c>
      <c r="F6" s="29">
        <f>'商品マスタ①'!L9</f>
        <v/>
      </c>
      <c r="G6" s="29">
        <f>'商品マスタ①'!M9</f>
        <v/>
      </c>
    </row>
    <row r="7">
      <c r="A7" s="5" t="inlineStr">
        <is>
          <t xml:space="preserve">　平均難度係数</t>
        </is>
      </c>
      <c r="B7" s="5" t="inlineStr"/>
      <c r="C7" s="13">
        <f>'商品マスタ①'!I10</f>
        <v/>
      </c>
      <c r="D7" s="13">
        <f>'商品マスタ①'!J10</f>
        <v/>
      </c>
      <c r="E7" s="13">
        <f>'商品マスタ①'!K10</f>
        <v/>
      </c>
      <c r="F7" s="13">
        <f>'商品マスタ①'!L10</f>
        <v/>
      </c>
      <c r="G7" s="13">
        <f>'商品マスタ①'!M10</f>
        <v/>
      </c>
    </row>
    <row r="8">
      <c r="A8" s="5" t="inlineStr">
        <is>
          <t xml:space="preserve">　1本あたり原価（万円）</t>
        </is>
      </c>
      <c r="B8" s="5" t="inlineStr"/>
      <c r="C8" s="29">
        <f>'商品マスタ①'!I11</f>
        <v/>
      </c>
      <c r="D8" s="29">
        <f>'商品マスタ①'!J11</f>
        <v/>
      </c>
      <c r="E8" s="29">
        <f>'商品マスタ①'!K11</f>
        <v/>
      </c>
      <c r="F8" s="29">
        <f>'商品マスタ①'!L11</f>
        <v/>
      </c>
      <c r="G8" s="29">
        <f>'商品マスタ①'!M11</f>
        <v/>
      </c>
    </row>
    <row r="9">
      <c r="A9" s="5" t="inlineStr">
        <is>
          <t xml:space="preserve">　AX倍率</t>
        </is>
      </c>
      <c r="B9" s="5" t="inlineStr"/>
      <c r="C9" s="11">
        <f>'前提'!$C$4</f>
        <v/>
      </c>
      <c r="D9" s="11">
        <f>'前提'!$D$4</f>
        <v/>
      </c>
      <c r="E9" s="11">
        <f>'前提'!$E$4</f>
        <v/>
      </c>
      <c r="F9" s="11">
        <f>'前提'!$F$4</f>
        <v/>
      </c>
      <c r="G9" s="11">
        <f>'前提'!$G$4</f>
        <v/>
      </c>
    </row>
    <row r="10">
      <c r="A10" s="5" t="inlineStr">
        <is>
          <t>② ツール外販</t>
        </is>
      </c>
      <c r="B10" s="5" t="inlineStr"/>
      <c r="C10" s="8">
        <f>'商品マスタ②'!C38</f>
        <v/>
      </c>
      <c r="D10" s="8">
        <f>'商品マスタ②'!D38</f>
        <v/>
      </c>
      <c r="E10" s="8">
        <f>'商品マスタ②'!E38</f>
        <v/>
      </c>
      <c r="F10" s="8">
        <f>'商品マスタ②'!F38</f>
        <v/>
      </c>
      <c r="G10" s="8">
        <f>'商品マスタ②'!G38</f>
        <v/>
      </c>
      <c r="H10" s="7" t="inlineStr">
        <is>
          <t>法人2階建て＋個人＋セルフサーブ</t>
        </is>
      </c>
    </row>
    <row r="11">
      <c r="A11" s="5" t="inlineStr">
        <is>
          <t>③ C2C手数料</t>
        </is>
      </c>
      <c r="B11" s="5" t="inlineStr"/>
      <c r="C11" s="8">
        <f>'商品マスタ③'!C41</f>
        <v/>
      </c>
      <c r="D11" s="8">
        <f>'商品マスタ③'!D41</f>
        <v/>
      </c>
      <c r="E11" s="8">
        <f>'商品マスタ③'!E41</f>
        <v/>
      </c>
      <c r="F11" s="8">
        <f>'商品マスタ③'!F41</f>
        <v/>
      </c>
      <c r="G11" s="8">
        <f>'商品マスタ③'!G41</f>
        <v/>
      </c>
      <c r="H11" s="7" t="inlineStr">
        <is>
          <t>14商品。GMV × 手数料30%</t>
        </is>
      </c>
    </row>
    <row r="12">
      <c r="A12" s="4" t="inlineStr">
        <is>
          <t>売上高</t>
        </is>
      </c>
      <c r="B12" s="5" t="inlineStr"/>
      <c r="C12" s="6">
        <f>C4+C10+C11</f>
        <v/>
      </c>
      <c r="D12" s="6">
        <f>D4+D10+D11</f>
        <v/>
      </c>
      <c r="E12" s="6">
        <f>E4+E10+E11</f>
        <v/>
      </c>
      <c r="F12" s="6">
        <f>F4+F10+F11</f>
        <v/>
      </c>
      <c r="G12" s="6">
        <f>G4+G10+G11</f>
        <v/>
      </c>
    </row>
    <row r="14">
      <c r="A14" s="5" t="inlineStr">
        <is>
          <t>① 売上原価</t>
        </is>
      </c>
      <c r="B14" s="5" t="inlineStr"/>
      <c r="C14" s="8">
        <f>C5*C8/100</f>
        <v/>
      </c>
      <c r="D14" s="8">
        <f>D5*D8/100</f>
        <v/>
      </c>
      <c r="E14" s="8">
        <f>E5*E8/100</f>
        <v/>
      </c>
      <c r="F14" s="8">
        <f>F5*F8/100</f>
        <v/>
      </c>
      <c r="G14" s="8">
        <f>G5*G8/100</f>
        <v/>
      </c>
    </row>
    <row r="15">
      <c r="A15" s="5" t="inlineStr">
        <is>
          <t>① 売上総利益</t>
        </is>
      </c>
      <c r="B15" s="5" t="inlineStr"/>
      <c r="C15" s="8">
        <f>C4-C14</f>
        <v/>
      </c>
      <c r="D15" s="8">
        <f>D4-D14</f>
        <v/>
      </c>
      <c r="E15" s="8">
        <f>E4-E14</f>
        <v/>
      </c>
      <c r="F15" s="8">
        <f>F4-F14</f>
        <v/>
      </c>
      <c r="G15" s="8">
        <f>G4-G14</f>
        <v/>
      </c>
    </row>
    <row r="16">
      <c r="A16" s="5" t="inlineStr">
        <is>
          <t>② 売上総利益</t>
        </is>
      </c>
      <c r="B16" s="5" t="inlineStr"/>
      <c r="C16" s="8">
        <f>C10*'商品マスタ②'!$B$39</f>
        <v/>
      </c>
      <c r="D16" s="8">
        <f>D10*'商品マスタ②'!$B$39</f>
        <v/>
      </c>
      <c r="E16" s="8">
        <f>E10*'商品マスタ②'!$B$39</f>
        <v/>
      </c>
      <c r="F16" s="8">
        <f>F10*'商品マスタ②'!$B$39</f>
        <v/>
      </c>
      <c r="G16" s="8">
        <f>G10*'商品マスタ②'!$B$39</f>
        <v/>
      </c>
    </row>
    <row r="17">
      <c r="A17" s="5" t="inlineStr">
        <is>
          <t>③ 売上総利益</t>
        </is>
      </c>
      <c r="B17" s="5" t="inlineStr"/>
      <c r="C17" s="8">
        <f>'商品マスタ③'!C43</f>
        <v/>
      </c>
      <c r="D17" s="8">
        <f>'商品マスタ③'!D43</f>
        <v/>
      </c>
      <c r="E17" s="8">
        <f>'商品マスタ③'!E43</f>
        <v/>
      </c>
      <c r="F17" s="8">
        <f>'商品マスタ③'!F43</f>
        <v/>
      </c>
      <c r="G17" s="8">
        <f>'商品マスタ③'!G43</f>
        <v/>
      </c>
      <c r="H17" s="7" t="inlineStr">
        <is>
          <t>30%から決済・送金・システム原価を引いた後</t>
        </is>
      </c>
    </row>
    <row r="18">
      <c r="A18" s="4" t="inlineStr">
        <is>
          <t>売上総利益</t>
        </is>
      </c>
      <c r="B18" s="5" t="inlineStr"/>
      <c r="C18" s="6">
        <f>C15+C16+C17</f>
        <v/>
      </c>
      <c r="D18" s="6">
        <f>D15+D16+D17</f>
        <v/>
      </c>
      <c r="E18" s="6">
        <f>E15+E16+E17</f>
        <v/>
      </c>
      <c r="F18" s="6">
        <f>F15+F16+F17</f>
        <v/>
      </c>
      <c r="G18" s="6">
        <f>G15+G16+G17</f>
        <v/>
      </c>
    </row>
    <row r="19">
      <c r="A19" s="5" t="inlineStr">
        <is>
          <t xml:space="preserve">　粗利率</t>
        </is>
      </c>
      <c r="B19" s="5" t="inlineStr"/>
      <c r="C19" s="10">
        <f>IF(C12=0,0,C18/C12)</f>
        <v/>
      </c>
      <c r="D19" s="10">
        <f>IF(D12=0,0,D18/D12)</f>
        <v/>
      </c>
      <c r="E19" s="10">
        <f>IF(E12=0,0,E18/E12)</f>
        <v/>
      </c>
      <c r="F19" s="10">
        <f>IF(F12=0,0,F18/F12)</f>
        <v/>
      </c>
      <c r="G19" s="10">
        <f>IF(G12=0,0,G18/G12)</f>
        <v/>
      </c>
    </row>
    <row r="21">
      <c r="A21" s="5" t="inlineStr">
        <is>
          <t>人件費（社員）</t>
        </is>
      </c>
      <c r="B21" s="5" t="inlineStr"/>
      <c r="C21" s="8">
        <f>'人員と人件費'!C11</f>
        <v/>
      </c>
      <c r="D21" s="8">
        <f>'人員と人件費'!D11</f>
        <v/>
      </c>
      <c r="E21" s="8">
        <f>'人員と人件費'!E11</f>
        <v/>
      </c>
      <c r="F21" s="8">
        <f>'人員と人件費'!F11</f>
        <v/>
      </c>
      <c r="G21" s="8">
        <f>'人員と人件費'!G11</f>
        <v/>
      </c>
    </row>
    <row r="22">
      <c r="A22" s="5" t="inlineStr">
        <is>
          <t>開発委託費（オフショア）</t>
        </is>
      </c>
      <c r="B22" s="5" t="inlineStr"/>
      <c r="C22" s="8">
        <f>'人員と人件費'!C42</f>
        <v/>
      </c>
      <c r="D22" s="8">
        <f>'人員と人件費'!D42</f>
        <v/>
      </c>
      <c r="E22" s="8">
        <f>'人員と人件費'!E42</f>
        <v/>
      </c>
      <c r="F22" s="8">
        <f>'人員と人件費'!F42</f>
        <v/>
      </c>
      <c r="G22" s="8">
        <f>'人員と人件費'!G42</f>
        <v/>
      </c>
      <c r="H22" s="7" t="inlineStr">
        <is>
          <t>中国・ベトナム・東欧。PM1名あたり5名</t>
        </is>
      </c>
    </row>
    <row r="23">
      <c r="A23" s="5" t="inlineStr">
        <is>
          <t>研究開発費（GPU・基盤）</t>
        </is>
      </c>
      <c r="B23" s="5" t="inlineStr"/>
      <c r="C23" s="8">
        <f>'前提'!$C$9</f>
        <v/>
      </c>
      <c r="D23" s="8">
        <f>'前提'!$D$9</f>
        <v/>
      </c>
      <c r="E23" s="8">
        <f>'前提'!$E$9</f>
        <v/>
      </c>
      <c r="F23" s="8">
        <f>'前提'!$F$9</f>
        <v/>
      </c>
      <c r="G23" s="8">
        <f>'前提'!$G$9</f>
        <v/>
      </c>
      <c r="H23" s="7" t="inlineStr">
        <is>
          <t>クラウドGPU・ライセンス・データ基盤</t>
        </is>
      </c>
    </row>
    <row r="24">
      <c r="A24" s="5" t="inlineStr">
        <is>
          <t>BPO（CS・運用）</t>
        </is>
      </c>
      <c r="B24" s="5" t="inlineStr"/>
      <c r="C24" s="8">
        <f>'前提'!$C$10</f>
        <v/>
      </c>
      <c r="D24" s="8">
        <f>'前提'!$D$10</f>
        <v/>
      </c>
      <c r="E24" s="8">
        <f>'前提'!$E$10</f>
        <v/>
      </c>
      <c r="F24" s="8">
        <f>'前提'!$F$10</f>
        <v/>
      </c>
      <c r="G24" s="8">
        <f>'前提'!$G$10</f>
        <v/>
      </c>
    </row>
    <row r="25">
      <c r="A25" s="5" t="inlineStr">
        <is>
          <t>獲得費</t>
        </is>
      </c>
      <c r="B25" s="5" t="inlineStr"/>
      <c r="C25" s="8">
        <f>C4*'前提'!$C$12+C10*'前提'!$C$13+'前提'!$C$11</f>
        <v/>
      </c>
      <c r="D25" s="8">
        <f>D4*'前提'!$D$12+D10*'前提'!$D$13+'前提'!$D$11</f>
        <v/>
      </c>
      <c r="E25" s="8">
        <f>E4*'前提'!$E$12+E10*'前提'!$E$13+'前提'!$E$11</f>
        <v/>
      </c>
      <c r="F25" s="8">
        <f>F4*'前提'!$F$12+F10*'前提'!$F$13+'前提'!$F$11</f>
        <v/>
      </c>
      <c r="G25" s="8">
        <f>G4*'前提'!$G$12+G10*'前提'!$G$13+'前提'!$G$11</f>
        <v/>
      </c>
    </row>
    <row r="26">
      <c r="A26" s="5" t="inlineStr">
        <is>
          <t>代理店手数料</t>
        </is>
      </c>
      <c r="B26" s="5" t="inlineStr"/>
      <c r="C26" s="8">
        <f>C4*'前提'!$C$14*'前提'!$C$15</f>
        <v/>
      </c>
      <c r="D26" s="8">
        <f>D4*'前提'!$D$14*'前提'!$D$15</f>
        <v/>
      </c>
      <c r="E26" s="8">
        <f>E4*'前提'!$E$14*'前提'!$E$15</f>
        <v/>
      </c>
      <c r="F26" s="8">
        <f>F4*'前提'!$F$14*'前提'!$F$15</f>
        <v/>
      </c>
      <c r="G26" s="8">
        <f>G4*'前提'!$G$14*'前提'!$G$15</f>
        <v/>
      </c>
      <c r="H26" s="7" t="inlineStr">
        <is>
          <t>①の代理店チャネル分のみ</t>
        </is>
      </c>
    </row>
    <row r="27">
      <c r="A27" s="5" t="inlineStr">
        <is>
          <t>その他販管費</t>
        </is>
      </c>
      <c r="B27" s="5" t="inlineStr"/>
      <c r="C27" s="8">
        <f>C12*'前提'!$C$16</f>
        <v/>
      </c>
      <c r="D27" s="8">
        <f>D12*'前提'!$D$16</f>
        <v/>
      </c>
      <c r="E27" s="8">
        <f>E12*'前提'!$E$16</f>
        <v/>
      </c>
      <c r="F27" s="8">
        <f>F12*'前提'!$F$16</f>
        <v/>
      </c>
      <c r="G27" s="8">
        <f>G12*'前提'!$G$16</f>
        <v/>
      </c>
    </row>
    <row r="28">
      <c r="A28" s="4" t="inlineStr">
        <is>
          <t>販売費・一般管理費 計</t>
        </is>
      </c>
      <c r="B28" s="5" t="inlineStr"/>
      <c r="C28" s="41">
        <f>SUM(C21:C27)</f>
        <v/>
      </c>
      <c r="D28" s="41">
        <f>SUM(D21:D27)</f>
        <v/>
      </c>
      <c r="E28" s="41">
        <f>SUM(E21:E27)</f>
        <v/>
      </c>
      <c r="F28" s="41">
        <f>SUM(F21:F27)</f>
        <v/>
      </c>
      <c r="G28" s="41">
        <f>SUM(G21:G27)</f>
        <v/>
      </c>
    </row>
    <row r="29">
      <c r="A29" s="4" t="inlineStr">
        <is>
          <t>営業利益</t>
        </is>
      </c>
      <c r="B29" s="5" t="inlineStr"/>
      <c r="C29" s="6">
        <f>C18-C28</f>
        <v/>
      </c>
      <c r="D29" s="6">
        <f>D18-D28</f>
        <v/>
      </c>
      <c r="E29" s="6">
        <f>E18-E28</f>
        <v/>
      </c>
      <c r="F29" s="6">
        <f>F18-F28</f>
        <v/>
      </c>
      <c r="G29" s="6">
        <f>G18-G28</f>
        <v/>
      </c>
    </row>
    <row r="30">
      <c r="A30" s="4" t="inlineStr">
        <is>
          <t xml:space="preserve">　営業利益率</t>
        </is>
      </c>
      <c r="B30" s="5" t="inlineStr"/>
      <c r="C30" s="42">
        <f>IF(C12=0,0,C29/C12)</f>
        <v/>
      </c>
      <c r="D30" s="42">
        <f>IF(D12=0,0,D29/D12)</f>
        <v/>
      </c>
      <c r="E30" s="42">
        <f>IF(E12=0,0,E29/E12)</f>
        <v/>
      </c>
      <c r="F30" s="42">
        <f>IF(F12=0,0,F29/F12)</f>
        <v/>
      </c>
      <c r="G30" s="42">
        <f>IF(G12=0,0,G29/G12)</f>
        <v/>
      </c>
    </row>
    <row r="32">
      <c r="A32" s="12" t="inlineStr">
        <is>
          <t>投資家が見る指標</t>
        </is>
      </c>
    </row>
    <row r="33">
      <c r="A33" s="5" t="inlineStr">
        <is>
          <t>社員数</t>
        </is>
      </c>
      <c r="B33" s="5" t="inlineStr"/>
      <c r="C33" s="8">
        <f>'人員と人件費'!C10</f>
        <v/>
      </c>
      <c r="D33" s="8">
        <f>'人員と人件費'!D10</f>
        <v/>
      </c>
      <c r="E33" s="8">
        <f>'人員と人件費'!E10</f>
        <v/>
      </c>
      <c r="F33" s="8">
        <f>'人員と人件費'!F10</f>
        <v/>
      </c>
      <c r="G33" s="8">
        <f>'人員と人件費'!G10</f>
        <v/>
      </c>
    </row>
    <row r="34">
      <c r="A34" s="4" t="inlineStr">
        <is>
          <t>売上 / 社員（万円）</t>
        </is>
      </c>
      <c r="B34" s="5" t="inlineStr"/>
      <c r="C34" s="6">
        <f>IF(C33=0,0,C12*100/C33)</f>
        <v/>
      </c>
      <c r="D34" s="6">
        <f>IF(D33=0,0,D12*100/D33)</f>
        <v/>
      </c>
      <c r="E34" s="6">
        <f>IF(E33=0,0,E12*100/E33)</f>
        <v/>
      </c>
      <c r="F34" s="6">
        <f>IF(F33=0,0,F12*100/F33)</f>
        <v/>
      </c>
      <c r="G34" s="6">
        <f>IF(G33=0,0,G12*100/G33)</f>
        <v/>
      </c>
      <c r="H34" s="7" t="inlineStr">
        <is>
          <t>国内SaaSの平均2,000〜4,000万との比較</t>
        </is>
      </c>
    </row>
    <row r="35">
      <c r="A35" s="5" t="inlineStr">
        <is>
          <t>研究開発費 ÷ 売上</t>
        </is>
      </c>
      <c r="B35" s="5" t="inlineStr"/>
      <c r="C35" s="10">
        <f>IF(C12=0,0,C23/C12)</f>
        <v/>
      </c>
      <c r="D35" s="10">
        <f>IF(D12=0,0,D23/D12)</f>
        <v/>
      </c>
      <c r="E35" s="10">
        <f>IF(E12=0,0,E23/E12)</f>
        <v/>
      </c>
      <c r="F35" s="10">
        <f>IF(F12=0,0,F23/F12)</f>
        <v/>
      </c>
      <c r="G35" s="10">
        <f>IF(G12=0,0,G23/G12)</f>
        <v/>
      </c>
    </row>
    <row r="36">
      <c r="A36" s="5" t="inlineStr">
        <is>
          <t>人手に比例しない収益</t>
        </is>
      </c>
      <c r="B36" s="5" t="inlineStr"/>
      <c r="C36" s="8">
        <f>C10+C11+C4*(1-1/'前提'!$C$4)</f>
        <v/>
      </c>
      <c r="D36" s="8">
        <f>D10+D11+D4*(1-1/'前提'!$D$4)</f>
        <v/>
      </c>
      <c r="E36" s="8">
        <f>E10+E11+E4*(1-1/'前提'!$E$4)</f>
        <v/>
      </c>
      <c r="F36" s="8">
        <f>F10+F11+F4*(1-1/'前提'!$F$4)</f>
        <v/>
      </c>
      <c r="G36" s="8">
        <f>G10+G11+G4*(1-1/'前提'!$G$4)</f>
        <v/>
      </c>
      <c r="H36" s="7" t="inlineStr">
        <is>
          <t>②＋③＋①のうちAXで人手から切れた分</t>
        </is>
      </c>
    </row>
    <row r="37">
      <c r="A37" s="4" t="inlineStr">
        <is>
          <t xml:space="preserve">　同 比率</t>
        </is>
      </c>
      <c r="B37" s="5" t="inlineStr"/>
      <c r="C37" s="9">
        <f>IF(C12=0,0,C36/C12)</f>
        <v/>
      </c>
      <c r="D37" s="9">
        <f>IF(D12=0,0,D36/D12)</f>
        <v/>
      </c>
      <c r="E37" s="9">
        <f>IF(E12=0,0,E36/E12)</f>
        <v/>
      </c>
      <c r="F37" s="9">
        <f>IF(F12=0,0,F36/F12)</f>
        <v/>
      </c>
      <c r="G37" s="9">
        <f>IF(G12=0,0,G36/G12)</f>
        <v/>
      </c>
      <c r="H37" s="7" t="inlineStr">
        <is>
          <t>受託と読まれないための中心指標</t>
        </is>
      </c>
    </row>
    <row r="38">
      <c r="A38" s="5" t="inlineStr">
        <is>
          <t>顧客が浮かせる額</t>
        </is>
      </c>
      <c r="B38" s="5" t="inlineStr"/>
      <c r="C38" s="8">
        <f>'商品マスタ①'!I14</f>
        <v/>
      </c>
      <c r="D38" s="8">
        <f>'商品マスタ①'!J14</f>
        <v/>
      </c>
      <c r="E38" s="8">
        <f>'商品マスタ①'!K14</f>
        <v/>
      </c>
      <c r="F38" s="8">
        <f>'商品マスタ①'!L14</f>
        <v/>
      </c>
      <c r="G38" s="8">
        <f>'商品マスタ①'!M14</f>
        <v/>
      </c>
      <c r="H38" s="7" t="inlineStr">
        <is>
          <t>①の提案の中身。値引き額の総額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資金計画・キャッシュフロー（単位：百万円）</t>
        </is>
      </c>
    </row>
    <row r="2">
      <c r="A2" s="2" t="inlineStr">
        <is>
          <t>営業利益からキャッシュ残高まで。運転資本と法人税を引いた後の、実際に手元に残る現金。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営業利益</t>
        </is>
      </c>
      <c r="B4" s="5" t="inlineStr"/>
      <c r="C4" s="41">
        <f>'損益計算書'!C29</f>
        <v/>
      </c>
      <c r="D4" s="41">
        <f>'損益計算書'!D29</f>
        <v/>
      </c>
      <c r="E4" s="41">
        <f>'損益計算書'!E29</f>
        <v/>
      </c>
      <c r="F4" s="41">
        <f>'損益計算書'!F29</f>
        <v/>
      </c>
      <c r="G4" s="41">
        <f>'損益計算書'!G29</f>
        <v/>
      </c>
    </row>
    <row r="5">
      <c r="A5" s="5" t="inlineStr">
        <is>
          <t xml:space="preserve">　繰越欠損金（期首）</t>
        </is>
      </c>
      <c r="B5" s="5" t="inlineStr"/>
      <c r="C5" s="8">
        <f>0</f>
        <v/>
      </c>
      <c r="D5" s="8">
        <f>MAX(0,C5-C4)</f>
        <v/>
      </c>
      <c r="E5" s="8">
        <f>MAX(0,D5-D4)</f>
        <v/>
      </c>
      <c r="F5" s="8">
        <f>MAX(0,E5-E4)</f>
        <v/>
      </c>
      <c r="G5" s="8">
        <f>MAX(0,F5-F4)</f>
        <v/>
      </c>
      <c r="H5" s="7" t="inlineStr">
        <is>
          <t>前期までの累積赤字</t>
        </is>
      </c>
    </row>
    <row r="6">
      <c r="A6" s="5" t="inlineStr">
        <is>
          <t xml:space="preserve">　課税所得</t>
        </is>
      </c>
      <c r="B6" s="5" t="inlineStr"/>
      <c r="C6" s="8">
        <f>MAX(0,C4-C5)</f>
        <v/>
      </c>
      <c r="D6" s="8">
        <f>MAX(0,D4-D5)</f>
        <v/>
      </c>
      <c r="E6" s="8">
        <f>MAX(0,E4-E5)</f>
        <v/>
      </c>
      <c r="F6" s="8">
        <f>MAX(0,F4-F5)</f>
        <v/>
      </c>
      <c r="G6" s="8">
        <f>MAX(0,G4-G5)</f>
        <v/>
      </c>
    </row>
    <row r="7">
      <c r="A7" s="5" t="inlineStr">
        <is>
          <t>法人税等</t>
        </is>
      </c>
      <c r="B7" s="5" t="inlineStr"/>
      <c r="C7" s="8">
        <f>C6*'前提'!$C$18</f>
        <v/>
      </c>
      <c r="D7" s="8">
        <f>D6*'前提'!$D$18</f>
        <v/>
      </c>
      <c r="E7" s="8">
        <f>E6*'前提'!$E$18</f>
        <v/>
      </c>
      <c r="F7" s="8">
        <f>F6*'前提'!$F$18</f>
        <v/>
      </c>
      <c r="G7" s="8">
        <f>G6*'前提'!$G$18</f>
        <v/>
      </c>
      <c r="H7" s="7" t="inlineStr">
        <is>
          <t>実効税率30%。繰越欠損金の控除後</t>
        </is>
      </c>
    </row>
    <row r="9">
      <c r="A9" s="5" t="inlineStr">
        <is>
          <t>運転資本：①制作（売掛−買掛）</t>
        </is>
      </c>
      <c r="B9" s="5" t="inlineStr"/>
      <c r="C9" s="8">
        <f>'損益計算書'!C4*'前提'!$C$19/365-'損益計算書'!C14*'前提'!$C$20/365</f>
        <v/>
      </c>
      <c r="D9" s="8">
        <f>'損益計算書'!D4*'前提'!$D$19/365-'損益計算書'!D14*'前提'!$D$20/365</f>
        <v/>
      </c>
      <c r="E9" s="8">
        <f>'損益計算書'!E4*'前提'!$E$19/365-'損益計算書'!E14*'前提'!$E$20/365</f>
        <v/>
      </c>
      <c r="F9" s="8">
        <f>'損益計算書'!F4*'前提'!$F$19/365-'損益計算書'!F14*'前提'!$F$20/365</f>
        <v/>
      </c>
      <c r="G9" s="8">
        <f>'損益計算書'!G4*'前提'!$G$19/365-'損益計算書'!G14*'前提'!$G$20/365</f>
        <v/>
      </c>
      <c r="H9" s="7" t="inlineStr">
        <is>
          <t>入金60日・支払30日。伸びるほど現金が先に出る</t>
        </is>
      </c>
    </row>
    <row r="10">
      <c r="A10" s="5" t="inlineStr">
        <is>
          <t>運転資本：②前受金（△）</t>
        </is>
      </c>
      <c r="B10" s="5" t="inlineStr"/>
      <c r="C10" s="8">
        <f>-'損益計算書'!C10*'前提'!$C$21/365</f>
        <v/>
      </c>
      <c r="D10" s="8">
        <f>-'損益計算書'!D10*'前提'!$D$21/365</f>
        <v/>
      </c>
      <c r="E10" s="8">
        <f>-'損益計算書'!E10*'前提'!$E$21/365</f>
        <v/>
      </c>
      <c r="F10" s="8">
        <f>-'損益計算書'!F10*'前提'!$F$21/365</f>
        <v/>
      </c>
      <c r="G10" s="8">
        <f>-'損益計算書'!G10*'前提'!$G$21/365</f>
        <v/>
      </c>
      <c r="H10" s="7" t="inlineStr">
        <is>
          <t>年額一括前受。資金の source になる</t>
        </is>
      </c>
    </row>
    <row r="11">
      <c r="A11" s="4" t="inlineStr">
        <is>
          <t>運転資本 残高 計</t>
        </is>
      </c>
      <c r="B11" s="5" t="inlineStr"/>
      <c r="C11" s="41">
        <f>C9+C10</f>
        <v/>
      </c>
      <c r="D11" s="41">
        <f>D9+D10</f>
        <v/>
      </c>
      <c r="E11" s="41">
        <f>E9+E10</f>
        <v/>
      </c>
      <c r="F11" s="41">
        <f>F9+F10</f>
        <v/>
      </c>
      <c r="G11" s="41">
        <f>G9+G10</f>
        <v/>
      </c>
    </row>
    <row r="12">
      <c r="A12" s="5" t="inlineStr">
        <is>
          <t>運転資本の増減（△は流出）</t>
        </is>
      </c>
      <c r="B12" s="5" t="inlineStr"/>
      <c r="C12" s="8">
        <f>-C11</f>
        <v/>
      </c>
      <c r="D12" s="8">
        <f>-(D11-C11)</f>
        <v/>
      </c>
      <c r="E12" s="8">
        <f>-(E11-D11)</f>
        <v/>
      </c>
      <c r="F12" s="8">
        <f>-(F11-E11)</f>
        <v/>
      </c>
      <c r="G12" s="8">
        <f>-(G11-F11)</f>
        <v/>
      </c>
    </row>
    <row r="14">
      <c r="A14" s="4" t="inlineStr">
        <is>
          <t>営業キャッシュフロー</t>
        </is>
      </c>
      <c r="B14" s="5" t="inlineStr"/>
      <c r="C14" s="6">
        <f>C4-C7+C12</f>
        <v/>
      </c>
      <c r="D14" s="6">
        <f>D4-D7+D12</f>
        <v/>
      </c>
      <c r="E14" s="6">
        <f>E4-E7+E12</f>
        <v/>
      </c>
      <c r="F14" s="6">
        <f>F4-F7+F12</f>
        <v/>
      </c>
      <c r="G14" s="6">
        <f>G4-G7+G12</f>
        <v/>
      </c>
    </row>
    <row r="15">
      <c r="A15" s="5" t="inlineStr">
        <is>
          <t>投資キャッシュフロー</t>
        </is>
      </c>
      <c r="B15" s="5" t="inlineStr"/>
      <c r="C15" s="8">
        <f>-'前提'!$C$22</f>
        <v/>
      </c>
      <c r="D15" s="8">
        <f>-'前提'!$D$22</f>
        <v/>
      </c>
      <c r="E15" s="8">
        <f>-'前提'!$E$22</f>
        <v/>
      </c>
      <c r="F15" s="8">
        <f>-'前提'!$F$22</f>
        <v/>
      </c>
      <c r="G15" s="8">
        <f>-'前提'!$G$22</f>
        <v/>
      </c>
      <c r="H15" s="7" t="inlineStr">
        <is>
          <t>クラウド前提。自社設備を持たない</t>
        </is>
      </c>
    </row>
    <row r="16">
      <c r="A16" s="5" t="inlineStr">
        <is>
          <t xml:space="preserve">　調達：シード</t>
        </is>
      </c>
      <c r="B16" s="5" t="inlineStr"/>
      <c r="C16" s="8">
        <f>'前提'!$C$23</f>
        <v/>
      </c>
      <c r="D16" s="8">
        <f>'前提'!$D$23</f>
        <v/>
      </c>
      <c r="E16" s="8">
        <f>'前提'!$E$23</f>
        <v/>
      </c>
      <c r="F16" s="8">
        <f>'前提'!$F$23</f>
        <v/>
      </c>
      <c r="G16" s="8">
        <f>'前提'!$G$23</f>
        <v/>
      </c>
    </row>
    <row r="17">
      <c r="A17" s="5" t="inlineStr">
        <is>
          <t xml:space="preserve">　調達：シリーズA</t>
        </is>
      </c>
      <c r="B17" s="5" t="inlineStr"/>
      <c r="C17" s="8">
        <f>'前提'!$C$24</f>
        <v/>
      </c>
      <c r="D17" s="8">
        <f>'前提'!$D$24</f>
        <v/>
      </c>
      <c r="E17" s="8">
        <f>'前提'!$E$24</f>
        <v/>
      </c>
      <c r="F17" s="8">
        <f>'前提'!$F$24</f>
        <v/>
      </c>
      <c r="G17" s="8">
        <f>'前提'!$G$24</f>
        <v/>
      </c>
    </row>
    <row r="18">
      <c r="A18" s="5" t="inlineStr">
        <is>
          <t xml:space="preserve">　調達：借入</t>
        </is>
      </c>
      <c r="B18" s="5" t="inlineStr"/>
      <c r="C18" s="8">
        <f>'前提'!$C$25</f>
        <v/>
      </c>
      <c r="D18" s="8">
        <f>'前提'!$D$25</f>
        <v/>
      </c>
      <c r="E18" s="8">
        <f>'前提'!$E$25</f>
        <v/>
      </c>
      <c r="F18" s="8">
        <f>'前提'!$F$25</f>
        <v/>
      </c>
      <c r="G18" s="8">
        <f>'前提'!$G$25</f>
        <v/>
      </c>
    </row>
    <row r="19">
      <c r="A19" s="4" t="inlineStr">
        <is>
          <t>財務キャッシュフロー</t>
        </is>
      </c>
      <c r="B19" s="5" t="inlineStr"/>
      <c r="C19" s="41">
        <f>C16+C17+C18</f>
        <v/>
      </c>
      <c r="D19" s="41">
        <f>D16+D17+D18</f>
        <v/>
      </c>
      <c r="E19" s="41">
        <f>E16+E17+E18</f>
        <v/>
      </c>
      <c r="F19" s="41">
        <f>F16+F17+F18</f>
        <v/>
      </c>
      <c r="G19" s="41">
        <f>G16+G17+G18</f>
        <v/>
      </c>
    </row>
    <row r="21">
      <c r="A21" s="4" t="inlineStr">
        <is>
          <t>当期キャッシュ増減</t>
        </is>
      </c>
      <c r="B21" s="5" t="inlineStr"/>
      <c r="C21" s="41">
        <f>C14+C15+C19</f>
        <v/>
      </c>
      <c r="D21" s="41">
        <f>D14+D15+D19</f>
        <v/>
      </c>
      <c r="E21" s="41">
        <f>E14+E15+E19</f>
        <v/>
      </c>
      <c r="F21" s="41">
        <f>F14+F15+F19</f>
        <v/>
      </c>
      <c r="G21" s="41">
        <f>G14+G15+G19</f>
        <v/>
      </c>
    </row>
    <row r="22">
      <c r="A22" s="4" t="inlineStr">
        <is>
          <t>期末キャッシュ残高</t>
        </is>
      </c>
      <c r="B22" s="5" t="inlineStr"/>
      <c r="C22" s="6">
        <f>C21</f>
        <v/>
      </c>
      <c r="D22" s="6">
        <f>C22+D21</f>
        <v/>
      </c>
      <c r="E22" s="6">
        <f>D22+E21</f>
        <v/>
      </c>
      <c r="F22" s="6">
        <f>E22+F21</f>
        <v/>
      </c>
      <c r="G22" s="6">
        <f>F22+G21</f>
        <v/>
      </c>
      <c r="H22" s="7" t="inlineStr">
        <is>
          <t>マイナスになる期があってはいけない</t>
        </is>
      </c>
    </row>
    <row r="23">
      <c r="A23" s="5" t="inlineStr">
        <is>
          <t>月次バーン（平均）</t>
        </is>
      </c>
      <c r="B23" s="5" t="inlineStr"/>
      <c r="C23" s="8">
        <f>IF(C14&gt;=0,0,-C14/12)</f>
        <v/>
      </c>
      <c r="D23" s="8">
        <f>IF(D14&gt;=0,0,-D14/12)</f>
        <v/>
      </c>
      <c r="E23" s="8">
        <f>IF(E14&gt;=0,0,-E14/12)</f>
        <v/>
      </c>
      <c r="F23" s="8">
        <f>IF(F14&gt;=0,0,-F14/12)</f>
        <v/>
      </c>
      <c r="G23" s="8">
        <f>IF(G14&gt;=0,0,-G14/12)</f>
        <v/>
      </c>
    </row>
    <row r="24">
      <c r="A24" s="5" t="inlineStr">
        <is>
          <t>（感応度）前受金ゼロなら期末残高</t>
        </is>
      </c>
      <c r="B24" s="5" t="inlineStr"/>
      <c r="C24" s="8">
        <f>C22+C10</f>
        <v/>
      </c>
      <c r="D24" s="8">
        <f>D22+D10</f>
        <v/>
      </c>
      <c r="E24" s="8">
        <f>E22+E10</f>
        <v/>
      </c>
      <c r="F24" s="8">
        <f>F22+F10</f>
        <v/>
      </c>
      <c r="G24" s="8">
        <f>G22+G10</f>
        <v/>
      </c>
      <c r="H24" s="7" t="inlineStr">
        <is>
          <t>ツールを月額課金にした場合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1" customWidth="1" min="8" max="8"/>
    <col width="10" customWidth="1" min="9" max="9"/>
    <col width="30" customWidth="1" min="10" max="10"/>
  </cols>
  <sheetData>
    <row r="1">
      <c r="A1" s="1" t="inlineStr">
        <is>
          <t>株式シェアの推移（設立 → 上場）</t>
        </is>
      </c>
    </row>
    <row r="2">
      <c r="A2" s="2" t="inlineStr">
        <is>
          <t>出所は CAP_TABLE.md 第5章。J-KISS はポストマネー・キャップなので、転換時のシード持分は 調達額 ÷ キャップ。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値</t>
        </is>
      </c>
      <c r="D3" s="3" t="inlineStr">
        <is>
          <t>単位</t>
        </is>
      </c>
      <c r="E3" s="3" t="inlineStr">
        <is>
          <t>区分</t>
        </is>
      </c>
      <c r="F3" s="3" t="inlineStr"/>
      <c r="G3" s="3" t="inlineStr"/>
      <c r="H3" s="3" t="inlineStr"/>
      <c r="I3" s="3" t="inlineStr"/>
      <c r="J3" s="3" t="inlineStr">
        <is>
          <t>備考</t>
        </is>
      </c>
    </row>
    <row r="4">
      <c r="B4" s="5" t="inlineStr">
        <is>
          <t>資本金</t>
        </is>
      </c>
      <c r="C4" s="18" t="n">
        <v>800</v>
      </c>
      <c r="D4" s="16" t="inlineStr">
        <is>
          <t>万円</t>
        </is>
      </c>
      <c r="E4" s="16" t="inlineStr">
        <is>
          <t>確定</t>
        </is>
      </c>
      <c r="J4" s="7" t="inlineStr">
        <is>
          <t>代表個人が全額出資</t>
        </is>
      </c>
    </row>
    <row r="5">
      <c r="B5" s="5" t="inlineStr">
        <is>
          <t>ESOP枠（設立時）</t>
        </is>
      </c>
      <c r="C5" s="19" t="n">
        <v>0.1</v>
      </c>
      <c r="D5" s="16" t="inlineStr">
        <is>
          <t>%</t>
        </is>
      </c>
      <c r="E5" s="16" t="inlineStr">
        <is>
          <t>計画</t>
        </is>
      </c>
      <c r="J5" s="7" t="inlineStr">
        <is>
          <t>後から作ると全員の希薄化になるので設立時に設計</t>
        </is>
      </c>
    </row>
    <row r="6">
      <c r="B6" s="5" t="inlineStr">
        <is>
          <t>J-KISS キャップ（ポストマネー）</t>
        </is>
      </c>
      <c r="C6" s="20" t="n">
        <v>6</v>
      </c>
      <c r="D6" s="16" t="inlineStr">
        <is>
          <t>億円</t>
        </is>
      </c>
      <c r="E6" s="16" t="inlineStr">
        <is>
          <t>確定</t>
        </is>
      </c>
      <c r="J6" s="7" t="inlineStr">
        <is>
          <t>交渉帯6〜10億</t>
        </is>
      </c>
    </row>
    <row r="7">
      <c r="B7" s="5" t="inlineStr">
        <is>
          <t>シード調達額</t>
        </is>
      </c>
      <c r="C7" s="20" t="n">
        <v>1.42</v>
      </c>
      <c r="D7" s="16" t="inlineStr">
        <is>
          <t>億円</t>
        </is>
      </c>
      <c r="E7" s="16" t="inlineStr">
        <is>
          <t>確定</t>
        </is>
      </c>
      <c r="J7" s="7" t="inlineStr">
        <is>
          <t>目標1.5億のうち0.08億は代表個人</t>
        </is>
      </c>
    </row>
    <row r="8">
      <c r="B8" s="5" t="inlineStr">
        <is>
          <t>ディスカウント</t>
        </is>
      </c>
      <c r="C8" s="19" t="n">
        <v>0.2</v>
      </c>
      <c r="D8" s="16" t="inlineStr">
        <is>
          <t>%</t>
        </is>
      </c>
      <c r="E8" s="16" t="inlineStr">
        <is>
          <t>確定</t>
        </is>
      </c>
      <c r="J8" s="7" t="inlineStr">
        <is>
          <t>キャップとの有利な方</t>
        </is>
      </c>
    </row>
    <row r="9">
      <c r="B9" s="5" t="inlineStr">
        <is>
          <t>シリーズA ポストマネー評価</t>
        </is>
      </c>
      <c r="C9" s="20" t="n">
        <v>15</v>
      </c>
      <c r="D9" s="16" t="inlineStr">
        <is>
          <t>億円</t>
        </is>
      </c>
      <c r="E9" s="16" t="inlineStr">
        <is>
          <t>計画</t>
        </is>
      </c>
      <c r="J9" s="7" t="inlineStr">
        <is>
          <t>2028年（2期）</t>
        </is>
      </c>
    </row>
    <row r="10">
      <c r="B10" s="5" t="inlineStr">
        <is>
          <t>シリーズA 調達額</t>
        </is>
      </c>
      <c r="C10" s="20" t="n">
        <v>3</v>
      </c>
      <c r="D10" s="16" t="inlineStr">
        <is>
          <t>億円</t>
        </is>
      </c>
      <c r="E10" s="16" t="inlineStr">
        <is>
          <t>計画</t>
        </is>
      </c>
      <c r="J10" s="7" t="inlineStr">
        <is>
          <t>無いと2期末に資金ショート</t>
        </is>
      </c>
    </row>
    <row r="11">
      <c r="B11" s="5" t="inlineStr">
        <is>
          <t>ESOP補充後の ESOP比率</t>
        </is>
      </c>
      <c r="C11" s="19" t="n">
        <v>0.099</v>
      </c>
      <c r="D11" s="16" t="inlineStr">
        <is>
          <t>%</t>
        </is>
      </c>
      <c r="E11" s="16" t="inlineStr">
        <is>
          <t>計画</t>
        </is>
      </c>
      <c r="J11" s="7" t="inlineStr">
        <is>
          <t>シリーズAで薄まった枠を戻す</t>
        </is>
      </c>
    </row>
    <row r="12">
      <c r="B12" s="5" t="inlineStr">
        <is>
          <t>IPO 公募比率</t>
        </is>
      </c>
      <c r="C12" s="19" t="n">
        <v>0.2</v>
      </c>
      <c r="D12" s="16" t="inlineStr">
        <is>
          <t>%</t>
        </is>
      </c>
      <c r="E12" s="16" t="inlineStr">
        <is>
          <t>計画</t>
        </is>
      </c>
      <c r="J12" s="7" t="inlineStr">
        <is>
          <t>新株発行なので全員が薄まる</t>
        </is>
      </c>
    </row>
    <row r="13">
      <c r="B13" s="5" t="inlineStr">
        <is>
          <t>IPO 売出し（シードから）</t>
        </is>
      </c>
      <c r="C13" s="19" t="n">
        <v>0.055</v>
      </c>
      <c r="D13" s="16" t="inlineStr">
        <is>
          <t>%</t>
        </is>
      </c>
      <c r="E13" s="16" t="inlineStr">
        <is>
          <t>計画</t>
        </is>
      </c>
      <c r="J13" s="7" t="inlineStr">
        <is>
          <t>既存株主が売る。創業者は薄まらない</t>
        </is>
      </c>
    </row>
    <row r="14">
      <c r="B14" s="5" t="inlineStr">
        <is>
          <t>IPO 売出し（シリーズAから）</t>
        </is>
      </c>
      <c r="C14" s="19" t="n">
        <v>0</v>
      </c>
      <c r="D14" s="16" t="inlineStr">
        <is>
          <t>%</t>
        </is>
      </c>
      <c r="E14" s="16" t="inlineStr">
        <is>
          <t>計画</t>
        </is>
      </c>
      <c r="J14" s="7" t="inlineStr">
        <is>
          <t>シード分だけで基準を満たす</t>
        </is>
      </c>
    </row>
    <row r="15">
      <c r="B15" s="4" t="inlineStr">
        <is>
          <t>転換時のシード持分</t>
        </is>
      </c>
      <c r="C15" s="40">
        <f>C7/C6</f>
        <v/>
      </c>
      <c r="J15" s="7" t="inlineStr">
        <is>
          <t>ポストマネー・キャップなので 1.42 ÷ 6</t>
        </is>
      </c>
    </row>
    <row r="16">
      <c r="B16" s="4" t="inlineStr">
        <is>
          <t>シリーズA の持分</t>
        </is>
      </c>
      <c r="C16" s="40">
        <f>C10/C9</f>
        <v/>
      </c>
      <c r="J16" s="7" t="inlineStr">
        <is>
          <t>3億 ÷ post 15億</t>
        </is>
      </c>
    </row>
    <row r="18">
      <c r="A18" s="12" t="inlineStr">
        <is>
          <t>持分の推移</t>
        </is>
      </c>
    </row>
    <row r="19" ht="24" customHeight="1">
      <c r="A19" s="3" t="inlineStr">
        <is>
          <t>時期</t>
        </is>
      </c>
      <c r="B19" s="3" t="inlineStr">
        <is>
          <t>イベント</t>
        </is>
      </c>
      <c r="C19" s="3" t="inlineStr">
        <is>
          <t>金額</t>
        </is>
      </c>
      <c r="D19" s="3" t="inlineStr">
        <is>
          <t>創業者</t>
        </is>
      </c>
      <c r="E19" s="3" t="inlineStr">
        <is>
          <t>ESOP</t>
        </is>
      </c>
      <c r="F19" s="3" t="inlineStr">
        <is>
          <t>シード</t>
        </is>
      </c>
      <c r="G19" s="3" t="inlineStr">
        <is>
          <t>シリーズA</t>
        </is>
      </c>
      <c r="H19" s="3" t="inlineStr">
        <is>
          <t>公募</t>
        </is>
      </c>
      <c r="I19" s="3" t="inlineStr">
        <is>
          <t>合計</t>
        </is>
      </c>
      <c r="J19" s="3" t="inlineStr">
        <is>
          <t>経営権の判定</t>
        </is>
      </c>
    </row>
    <row r="20">
      <c r="A20" s="5" t="inlineStr">
        <is>
          <t>2026/10</t>
        </is>
      </c>
      <c r="B20" s="4" t="inlineStr">
        <is>
          <t>設立（資本金800万）</t>
        </is>
      </c>
      <c r="C20" s="43" t="inlineStr">
        <is>
          <t>—</t>
        </is>
      </c>
      <c r="D20" s="9">
        <f>1</f>
        <v/>
      </c>
      <c r="E20" s="10">
        <f>0</f>
        <v/>
      </c>
      <c r="F20" s="10">
        <f>0</f>
        <v/>
      </c>
      <c r="G20" s="10">
        <f>0</f>
        <v/>
      </c>
      <c r="H20" s="10">
        <f>0</f>
        <v/>
      </c>
      <c r="I20" s="44">
        <f>SUM(D20:H20)</f>
        <v/>
      </c>
      <c r="J20" s="5">
        <f>IF(D20&gt;0.5,"経営権あり（50%超）",IF(D20&gt;0.334,"拒否権あり（1/3超）","1/3割れ"))</f>
        <v/>
      </c>
    </row>
    <row r="21">
      <c r="A21" s="5" t="inlineStr">
        <is>
          <t>2026/10</t>
        </is>
      </c>
      <c r="B21" s="4" t="inlineStr">
        <is>
          <t>ESOP枠を設計</t>
        </is>
      </c>
      <c r="C21" s="43" t="inlineStr">
        <is>
          <t>—</t>
        </is>
      </c>
      <c r="D21" s="9">
        <f>D20*(1-$C$5)</f>
        <v/>
      </c>
      <c r="E21" s="10">
        <f>$C$5</f>
        <v/>
      </c>
      <c r="F21" s="10">
        <f>0</f>
        <v/>
      </c>
      <c r="G21" s="10">
        <f>0</f>
        <v/>
      </c>
      <c r="H21" s="10">
        <f>0</f>
        <v/>
      </c>
      <c r="I21" s="44">
        <f>SUM(D21:H21)</f>
        <v/>
      </c>
      <c r="J21" s="5">
        <f>IF(D21&gt;0.5,"経営権あり（50%超）",IF(D21&gt;0.334,"拒否権あり（1/3超）","1/3割れ"))</f>
        <v/>
      </c>
    </row>
    <row r="22">
      <c r="A22" s="5" t="inlineStr">
        <is>
          <t>2026/10</t>
        </is>
      </c>
      <c r="B22" s="4" t="inlineStr">
        <is>
          <t>J-KISS 発行（未転換）</t>
        </is>
      </c>
      <c r="C22" s="43" t="inlineStr">
        <is>
          <t>1.42億</t>
        </is>
      </c>
      <c r="D22" s="9">
        <f>D21</f>
        <v/>
      </c>
      <c r="E22" s="10">
        <f>E21</f>
        <v/>
      </c>
      <c r="F22" s="10">
        <f>0</f>
        <v/>
      </c>
      <c r="G22" s="10">
        <f>0</f>
        <v/>
      </c>
      <c r="H22" s="10">
        <f>0</f>
        <v/>
      </c>
      <c r="I22" s="44">
        <f>SUM(D22:H22)</f>
        <v/>
      </c>
      <c r="J22" s="5">
        <f>IF(D22&gt;0.5,"経営権あり（50%超）",IF(D22&gt;0.334,"拒否権あり（1/3超）","1/3割れ"))</f>
        <v/>
      </c>
    </row>
    <row r="23">
      <c r="A23" s="5" t="inlineStr">
        <is>
          <t>2028</t>
        </is>
      </c>
      <c r="B23" s="4" t="inlineStr">
        <is>
          <t>シリーズA ＋ J-KISS転換</t>
        </is>
      </c>
      <c r="C23" s="43" t="inlineStr">
        <is>
          <t>3億</t>
        </is>
      </c>
      <c r="D23" s="9">
        <f>D22*(1-$C$15)*(1-$C$16)</f>
        <v/>
      </c>
      <c r="E23" s="10">
        <f>E22*(1-$C$15)*(1-$C$16)</f>
        <v/>
      </c>
      <c r="F23" s="10">
        <f>$C$15*(1-$C$16)</f>
        <v/>
      </c>
      <c r="G23" s="10">
        <f>$C$16</f>
        <v/>
      </c>
      <c r="H23" s="10">
        <f>0</f>
        <v/>
      </c>
      <c r="I23" s="44">
        <f>SUM(D23:H23)</f>
        <v/>
      </c>
      <c r="J23" s="5">
        <f>IF(D23&gt;0.5,"経営権あり（50%超）",IF(D23&gt;0.334,"拒否権あり（1/3超）","1/3割れ"))</f>
        <v/>
      </c>
    </row>
    <row r="24">
      <c r="A24" s="5" t="inlineStr">
        <is>
          <t>2028</t>
        </is>
      </c>
      <c r="B24" s="4" t="inlineStr">
        <is>
          <t>ESOP補充</t>
        </is>
      </c>
      <c r="C24" s="43" t="inlineStr">
        <is>
          <t>—</t>
        </is>
      </c>
      <c r="D24" s="9">
        <f>D23*(1-$C$11)/(1-E23)</f>
        <v/>
      </c>
      <c r="E24" s="10">
        <f>$C$11</f>
        <v/>
      </c>
      <c r="F24" s="10">
        <f>F23*(1-$C$11)/(1-E23)</f>
        <v/>
      </c>
      <c r="G24" s="10">
        <f>G23*(1-$C$11)/(1-E23)</f>
        <v/>
      </c>
      <c r="H24" s="10">
        <f>0</f>
        <v/>
      </c>
      <c r="I24" s="44">
        <f>SUM(D24:H24)</f>
        <v/>
      </c>
      <c r="J24" s="5">
        <f>IF(D24&gt;0.5,"経営権あり（50%超）",IF(D24&gt;0.334,"拒否権あり（1/3超）","1/3割れ"))</f>
        <v/>
      </c>
    </row>
    <row r="25">
      <c r="A25" s="5" t="inlineStr">
        <is>
          <t>2031</t>
        </is>
      </c>
      <c r="B25" s="4" t="inlineStr">
        <is>
          <t>IPO 公募</t>
        </is>
      </c>
      <c r="C25" s="43" t="inlineStr">
        <is>
          <t>—</t>
        </is>
      </c>
      <c r="D25" s="9">
        <f>D24*(1-$C$12)</f>
        <v/>
      </c>
      <c r="E25" s="10">
        <f>E24*(1-$C$12)</f>
        <v/>
      </c>
      <c r="F25" s="10">
        <f>F24*(1-$C$12)</f>
        <v/>
      </c>
      <c r="G25" s="10">
        <f>G24*(1-$C$12)</f>
        <v/>
      </c>
      <c r="H25" s="10">
        <f>$C$12</f>
        <v/>
      </c>
      <c r="I25" s="44">
        <f>SUM(D25:H25)</f>
        <v/>
      </c>
      <c r="J25" s="5">
        <f>IF(D25&gt;0.5,"経営権あり（50%超）",IF(D25&gt;0.334,"拒否権あり（1/3超）","1/3割れ"))</f>
        <v/>
      </c>
    </row>
    <row r="26">
      <c r="A26" s="5" t="inlineStr">
        <is>
          <t>2031</t>
        </is>
      </c>
      <c r="B26" s="4" t="inlineStr">
        <is>
          <t>売出し（既存株主が売る）</t>
        </is>
      </c>
      <c r="C26" s="43" t="inlineStr">
        <is>
          <t>—</t>
        </is>
      </c>
      <c r="D26" s="9">
        <f>D25</f>
        <v/>
      </c>
      <c r="E26" s="10">
        <f>E25</f>
        <v/>
      </c>
      <c r="F26" s="10">
        <f>F25-$C$13</f>
        <v/>
      </c>
      <c r="G26" s="10">
        <f>G25-$C$14</f>
        <v/>
      </c>
      <c r="H26" s="10">
        <f>H25+$C$13+$C$14</f>
        <v/>
      </c>
      <c r="I26" s="44">
        <f>SUM(D26:H26)</f>
        <v/>
      </c>
      <c r="J26" s="5">
        <f>IF(D26&gt;0.5,"経営権あり（50%超）",IF(D26&gt;0.334,"拒否権あり（1/3超）","1/3割れ"))</f>
        <v/>
      </c>
    </row>
    <row r="28">
      <c r="A28" s="12" t="inlineStr">
        <is>
          <t>流通株式比率 — 基準25%を満たす設計</t>
        </is>
      </c>
    </row>
    <row r="29" ht="24" customHeight="1">
      <c r="A29" s="3" t="inlineStr">
        <is>
          <t>株主</t>
        </is>
      </c>
      <c r="B29" s="3" t="inlineStr">
        <is>
          <t>上場後の保有</t>
        </is>
      </c>
      <c r="C29" s="3" t="inlineStr">
        <is>
          <t>10%の判定</t>
        </is>
      </c>
      <c r="D29" s="3" t="inlineStr">
        <is>
          <t>流通株式への算入</t>
        </is>
      </c>
      <c r="E29" s="3" t="inlineStr">
        <is>
          <t>算入される持分</t>
        </is>
      </c>
      <c r="F29" s="3" t="inlineStr"/>
      <c r="G29" s="3" t="inlineStr"/>
      <c r="H29" s="3" t="inlineStr"/>
      <c r="I29" s="3" t="inlineStr"/>
      <c r="J29" s="3" t="inlineStr">
        <is>
          <t>理由</t>
        </is>
      </c>
    </row>
    <row r="30">
      <c r="A30" s="5" t="inlineStr">
        <is>
          <t>創業者（役員）</t>
        </is>
      </c>
      <c r="B30" s="42">
        <f>D26</f>
        <v/>
      </c>
      <c r="C30" s="16" t="inlineStr">
        <is>
          <t>—</t>
        </is>
      </c>
      <c r="D30" s="17" t="inlineStr">
        <is>
          <t>× 除外</t>
        </is>
      </c>
      <c r="E30" s="42" t="n">
        <v>0</v>
      </c>
      <c r="J30" s="7" t="inlineStr">
        <is>
          <t>役員の保有分は除外</t>
        </is>
      </c>
    </row>
    <row r="31">
      <c r="A31" s="5" t="inlineStr">
        <is>
          <t>ESOP枠</t>
        </is>
      </c>
      <c r="B31" s="42">
        <f>E26</f>
        <v/>
      </c>
      <c r="C31" s="16" t="inlineStr">
        <is>
          <t>—</t>
        </is>
      </c>
      <c r="D31" s="17" t="inlineStr">
        <is>
          <t>× 除外</t>
        </is>
      </c>
      <c r="E31" s="42" t="n">
        <v>0</v>
      </c>
      <c r="J31" s="7" t="inlineStr">
        <is>
          <t>役員・従業員分は除外</t>
        </is>
      </c>
    </row>
    <row r="32">
      <c r="A32" s="5" t="inlineStr">
        <is>
          <t>シード投資家 保有分</t>
        </is>
      </c>
      <c r="B32" s="42">
        <f>F26</f>
        <v/>
      </c>
      <c r="C32" s="16">
        <f>IF(B32&lt;0.1,"10%未満","10%以上")</f>
        <v/>
      </c>
      <c r="D32" s="16">
        <f>IF(B32&lt;0.1,"○ 算入","× 除外")</f>
        <v/>
      </c>
      <c r="E32" s="42">
        <f>IF(B32&lt;0.1,B32,0)</f>
        <v/>
      </c>
      <c r="J32" s="7" t="inlineStr">
        <is>
          <t>10%未満なら全株が算入。売出しでここを越える</t>
        </is>
      </c>
    </row>
    <row r="33">
      <c r="A33" s="5" t="inlineStr">
        <is>
          <t>シリーズA 保有分</t>
        </is>
      </c>
      <c r="B33" s="42">
        <f>G26</f>
        <v/>
      </c>
      <c r="C33" s="16">
        <f>IF(B33&lt;0.1,"10%未満","10%以上")</f>
        <v/>
      </c>
      <c r="D33" s="16">
        <f>IF(B33&lt;0.1,"○ 算入","× 除外")</f>
        <v/>
      </c>
      <c r="E33" s="42">
        <f>IF(B33&lt;0.1,B33,0)</f>
        <v/>
      </c>
      <c r="J33" s="7" t="inlineStr">
        <is>
          <t>10%以上なので除外</t>
        </is>
      </c>
    </row>
    <row r="34">
      <c r="A34" s="5" t="inlineStr">
        <is>
          <t>公募・売出し</t>
        </is>
      </c>
      <c r="B34" s="42">
        <f>H26</f>
        <v/>
      </c>
      <c r="C34" s="16" t="inlineStr">
        <is>
          <t>—</t>
        </is>
      </c>
      <c r="D34" s="16" t="inlineStr">
        <is>
          <t>○ 算入</t>
        </is>
      </c>
      <c r="E34" s="42">
        <f>B34</f>
        <v/>
      </c>
      <c r="J34" s="7" t="inlineStr">
        <is>
          <t>市場に出た分</t>
        </is>
      </c>
    </row>
    <row r="35">
      <c r="A35" s="4" t="inlineStr">
        <is>
          <t>流通株式比率</t>
        </is>
      </c>
      <c r="E35" s="9">
        <f>SUM(E30:E34)</f>
        <v/>
      </c>
    </row>
    <row r="36">
      <c r="A36" s="4" t="inlineStr">
        <is>
          <t>基準25%に対する過不足</t>
        </is>
      </c>
      <c r="D36" s="34">
        <f>IF(E35&gt;=0.25,"○ 満たす","× 不足")</f>
        <v/>
      </c>
      <c r="E36" s="45">
        <f>E35-0.25</f>
        <v/>
      </c>
    </row>
    <row r="38">
      <c r="A38" s="2" t="inlineStr">
        <is>
          <t>シードが5.5%を売出すと保有が10%未満になり、残りの保有株も一括で算入される。公募を25%に上げる案より創業者持分が2.6ポイント厚く残る（42.2% vs 39.5%）。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46" customWidth="1" min="9" max="9"/>
  </cols>
  <sheetData>
    <row r="1">
      <c r="A1" s="1" t="inlineStr">
        <is>
          <t>資本政策とシード投資家のリターン</t>
        </is>
      </c>
    </row>
    <row r="2">
      <c r="A2" s="2" t="inlineStr">
        <is>
          <t>⚠ 事業計画からの逆算であって、投資の推奨でも利回りの保証でもない。計画が達成された場合の数字。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/>
      <c r="F3" s="3" t="inlineStr"/>
      <c r="G3" s="3" t="inlineStr"/>
      <c r="H3" s="3" t="inlineStr"/>
      <c r="I3" s="3" t="inlineStr">
        <is>
          <t>備考</t>
        </is>
      </c>
    </row>
    <row r="4">
      <c r="A4" s="5" t="inlineStr">
        <is>
          <t>J-KISS キャップ（ポストマネー）</t>
        </is>
      </c>
      <c r="B4" s="32">
        <f>'資本構成の推移'!C6</f>
        <v/>
      </c>
      <c r="C4" s="16" t="inlineStr">
        <is>
          <t>億円</t>
        </is>
      </c>
      <c r="D4" s="16" t="inlineStr">
        <is>
          <t>確定</t>
        </is>
      </c>
      <c r="I4" s="7" t="inlineStr"/>
    </row>
    <row r="5">
      <c r="A5" s="5" t="inlineStr">
        <is>
          <t>シード調達額</t>
        </is>
      </c>
      <c r="B5" s="32">
        <f>'資本構成の推移'!C7</f>
        <v/>
      </c>
      <c r="C5" s="16" t="inlineStr">
        <is>
          <t>億円</t>
        </is>
      </c>
      <c r="D5" s="16" t="inlineStr">
        <is>
          <t>確定</t>
        </is>
      </c>
      <c r="I5" s="7" t="inlineStr">
        <is>
          <t>残り0.08億は代表個人</t>
        </is>
      </c>
    </row>
    <row r="6">
      <c r="A6" s="5" t="inlineStr">
        <is>
          <t>転換時のシード持分</t>
        </is>
      </c>
      <c r="B6" s="40">
        <f>'資本構成の推移'!C15</f>
        <v/>
      </c>
      <c r="C6" s="16" t="inlineStr">
        <is>
          <t>%</t>
        </is>
      </c>
      <c r="D6" s="16" t="inlineStr">
        <is>
          <t>計算</t>
        </is>
      </c>
      <c r="I6" s="7" t="inlineStr">
        <is>
          <t>＝ 調達額 ÷ キャップ</t>
        </is>
      </c>
    </row>
    <row r="7">
      <c r="A7" s="5" t="inlineStr">
        <is>
          <t>転換後の希薄化</t>
        </is>
      </c>
      <c r="B7" s="46">
        <f>B8/B6</f>
        <v/>
      </c>
      <c r="C7" s="16" t="inlineStr">
        <is>
          <t>倍</t>
        </is>
      </c>
      <c r="D7" s="16" t="inlineStr">
        <is>
          <t>計算</t>
        </is>
      </c>
      <c r="I7" s="7" t="inlineStr">
        <is>
          <t>シリーズA→ESOP補充→IPO公募 の積</t>
        </is>
      </c>
    </row>
    <row r="8">
      <c r="A8" s="5" t="inlineStr">
        <is>
          <t>上場後のシード持分</t>
        </is>
      </c>
      <c r="B8" s="40">
        <f>'資本構成の推移'!F25</f>
        <v/>
      </c>
      <c r="C8" s="16" t="inlineStr">
        <is>
          <t>%</t>
        </is>
      </c>
      <c r="D8" s="16" t="inlineStr">
        <is>
          <t>計算</t>
        </is>
      </c>
      <c r="I8" s="7" t="inlineStr">
        <is>
          <t>売出し分を含む経済持分。CAP_TABLE 第5章</t>
        </is>
      </c>
    </row>
    <row r="9">
      <c r="A9" s="5" t="inlineStr">
        <is>
          <t>出資 → 上場</t>
        </is>
      </c>
      <c r="B9" s="20" t="n">
        <v>4.9</v>
      </c>
      <c r="C9" s="16" t="inlineStr">
        <is>
          <t>年</t>
        </is>
      </c>
      <c r="D9" s="16" t="inlineStr">
        <is>
          <t>計画</t>
        </is>
      </c>
      <c r="I9" s="7" t="inlineStr">
        <is>
          <t>2026年10月 → 2031年9月 東証グロース</t>
        </is>
      </c>
    </row>
    <row r="11">
      <c r="A11" s="12" t="inlineStr">
        <is>
          <t>① ライン別に倍率を分けた場合（証券会社が実際にやる見方）</t>
        </is>
      </c>
    </row>
    <row r="12" ht="24" customHeight="1">
      <c r="A12" s="3" t="inlineStr">
        <is>
          <t>ケース</t>
        </is>
      </c>
      <c r="B12" s="3" t="inlineStr">
        <is>
          <t>ツール倍率</t>
        </is>
      </c>
      <c r="C12" s="3" t="inlineStr">
        <is>
          <t>C2C倍率</t>
        </is>
      </c>
      <c r="D12" s="3" t="inlineStr">
        <is>
          <t>制作倍率</t>
        </is>
      </c>
      <c r="E12" s="3" t="inlineStr">
        <is>
          <t>時価総額(億)</t>
        </is>
      </c>
      <c r="F12" s="3" t="inlineStr">
        <is>
          <t>取り分(億)</t>
        </is>
      </c>
      <c r="G12" s="3" t="inlineStr">
        <is>
          <t>倍率</t>
        </is>
      </c>
      <c r="H12" s="3" t="inlineStr">
        <is>
          <t>IRR</t>
        </is>
      </c>
      <c r="I12" s="3" t="inlineStr">
        <is>
          <t>考え方</t>
        </is>
      </c>
    </row>
    <row r="13">
      <c r="A13" s="4" t="inlineStr">
        <is>
          <t>保守</t>
        </is>
      </c>
      <c r="B13" s="25" t="n">
        <v>6</v>
      </c>
      <c r="C13" s="25" t="n">
        <v>4</v>
      </c>
      <c r="D13" s="25" t="n">
        <v>1.5</v>
      </c>
      <c r="E13" s="21">
        <f>('損益計算書'!$G$10*B13+'損益計算書'!$G$11*C13+'損益計算書'!$G$4*D13)/100</f>
        <v/>
      </c>
      <c r="F13" s="13">
        <f>E13*$B$8</f>
        <v/>
      </c>
      <c r="G13" s="47">
        <f>F13/$B$5</f>
        <v/>
      </c>
      <c r="H13" s="10">
        <f>G13^(1/$B$9)-1</f>
        <v/>
      </c>
      <c r="I13" s="7" t="inlineStr">
        <is>
          <t>人手に比例しない90%超を根拠にツールへSaaS寄りの倍率</t>
        </is>
      </c>
    </row>
    <row r="14">
      <c r="A14" s="4" t="inlineStr">
        <is>
          <t>中庸</t>
        </is>
      </c>
      <c r="B14" s="25" t="n">
        <v>7</v>
      </c>
      <c r="C14" s="25" t="n">
        <v>5</v>
      </c>
      <c r="D14" s="25" t="n">
        <v>2</v>
      </c>
      <c r="E14" s="21">
        <f>('損益計算書'!$G$10*B14+'損益計算書'!$G$11*C14+'損益計算書'!$G$4*D14)/100</f>
        <v/>
      </c>
      <c r="F14" s="13">
        <f>E14*$B$8</f>
        <v/>
      </c>
      <c r="G14" s="47">
        <f>F14/$B$5</f>
        <v/>
      </c>
      <c r="H14" s="10">
        <f>G14^(1/$B$9)-1</f>
        <v/>
      </c>
      <c r="I14" s="7" t="inlineStr"/>
    </row>
    <row r="15">
      <c r="A15" s="4" t="inlineStr">
        <is>
          <t>強気</t>
        </is>
      </c>
      <c r="B15" s="25" t="n">
        <v>8</v>
      </c>
      <c r="C15" s="25" t="n">
        <v>6</v>
      </c>
      <c r="D15" s="25" t="n">
        <v>2.5</v>
      </c>
      <c r="E15" s="21">
        <f>('損益計算書'!$G$10*B15+'損益計算書'!$G$11*C15+'損益計算書'!$G$4*D15)/100</f>
        <v/>
      </c>
      <c r="F15" s="13">
        <f>E15*$B$8</f>
        <v/>
      </c>
      <c r="G15" s="47">
        <f>F15/$B$5</f>
        <v/>
      </c>
      <c r="H15" s="10">
        <f>G15^(1/$B$9)-1</f>
        <v/>
      </c>
      <c r="I15" s="7" t="inlineStr">
        <is>
          <t>Synthesia・HeyGenと同じ土俵に立てた場合</t>
        </is>
      </c>
    </row>
    <row r="17">
      <c r="A17" s="12" t="inlineStr">
        <is>
          <t>② 全社に PSR を当てた場合</t>
        </is>
      </c>
    </row>
    <row r="18" ht="24" customHeight="1">
      <c r="A18" s="3" t="inlineStr">
        <is>
          <t>ケース</t>
        </is>
      </c>
      <c r="B18" s="3" t="inlineStr">
        <is>
          <t>PSR</t>
        </is>
      </c>
      <c r="C18" s="3" t="inlineStr"/>
      <c r="D18" s="3" t="inlineStr"/>
      <c r="E18" s="3" t="inlineStr">
        <is>
          <t>時価総額(億)</t>
        </is>
      </c>
      <c r="F18" s="3" t="inlineStr">
        <is>
          <t>取り分(億)</t>
        </is>
      </c>
      <c r="G18" s="3" t="inlineStr">
        <is>
          <t>倍率</t>
        </is>
      </c>
      <c r="H18" s="3" t="inlineStr">
        <is>
          <t>IRR</t>
        </is>
      </c>
      <c r="I18" s="3" t="inlineStr">
        <is>
          <t>考え方</t>
        </is>
      </c>
    </row>
    <row r="19">
      <c r="A19" s="4" t="inlineStr">
        <is>
          <t>PSR 4倍</t>
        </is>
      </c>
      <c r="B19" s="25" t="n">
        <v>4</v>
      </c>
      <c r="E19" s="21">
        <f>'損益計算書'!$G$12*B19/100</f>
        <v/>
      </c>
      <c r="F19" s="13">
        <f>E19*$B$8</f>
        <v/>
      </c>
      <c r="G19" s="47">
        <f>F19/$B$5</f>
        <v/>
      </c>
      <c r="H19" s="10">
        <f>G19^(1/$B$9)-1</f>
        <v/>
      </c>
      <c r="I19" s="7" t="inlineStr">
        <is>
          <t>人手に比例しない収益が9割であることを根拠にする</t>
        </is>
      </c>
    </row>
    <row r="20">
      <c r="A20" s="4" t="inlineStr">
        <is>
          <t>PSR 5倍</t>
        </is>
      </c>
      <c r="B20" s="25" t="n">
        <v>5</v>
      </c>
      <c r="E20" s="21">
        <f>'損益計算書'!$G$12*B20/100</f>
        <v/>
      </c>
      <c r="F20" s="13">
        <f>E20*$B$8</f>
        <v/>
      </c>
      <c r="G20" s="47">
        <f>F20/$B$5</f>
        <v/>
      </c>
      <c r="H20" s="10">
        <f>G20^(1/$B$9)-1</f>
        <v/>
      </c>
      <c r="I20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30" customWidth="1" min="4" max="4"/>
    <col width="54" customWidth="1" min="5" max="5"/>
  </cols>
  <sheetData>
    <row r="1">
      <c r="A1" s="1" t="inlineStr">
        <is>
          <t>実在企業と並べる（5期の当社）</t>
        </is>
      </c>
    </row>
    <row r="2">
      <c r="A2" s="2" t="inlineStr">
        <is>
          <t>⚠ 世界の「映像制作会社ランキング」は存在しない。大手広告グループは制作事業を分離開示しないため。</t>
        </is>
      </c>
    </row>
    <row r="3" ht="24" customHeight="1">
      <c r="A3" s="3" t="inlineStr">
        <is>
          <t>会社</t>
        </is>
      </c>
      <c r="B3" s="3" t="inlineStr">
        <is>
          <t>売上(億円)</t>
        </is>
      </c>
      <c r="C3" s="3" t="inlineStr">
        <is>
          <t>区分</t>
        </is>
      </c>
      <c r="D3" s="3" t="inlineStr">
        <is>
          <t>決算期・出所</t>
        </is>
      </c>
      <c r="E3" s="3" t="inlineStr">
        <is>
          <t>備考</t>
        </is>
      </c>
    </row>
    <row r="4">
      <c r="A4" s="5" t="inlineStr">
        <is>
          <t>東映</t>
        </is>
      </c>
      <c r="B4" s="8" t="n">
        <v>1853</v>
      </c>
      <c r="C4" s="5" t="inlineStr">
        <is>
          <t>映画・映像製作</t>
        </is>
      </c>
      <c r="D4" s="7" t="inlineStr">
        <is>
          <t>2026/3期</t>
        </is>
      </c>
      <c r="E4" s="7" t="inlineStr">
        <is>
          <t>国内最大</t>
        </is>
      </c>
    </row>
    <row r="5">
      <c r="A5" s="5" t="inlineStr">
        <is>
          <t>IMAGICA GROUP</t>
        </is>
      </c>
      <c r="B5" s="8" t="n">
        <v>1000</v>
      </c>
      <c r="C5" s="5" t="inlineStr">
        <is>
          <t>ポスプロ・映像技術</t>
        </is>
      </c>
      <c r="D5" s="7" t="inlineStr">
        <is>
          <t>2026/3期（Q1 222億からの推計）</t>
        </is>
      </c>
      <c r="E5" s="7" t="inlineStr">
        <is>
          <t>推計値</t>
        </is>
      </c>
    </row>
    <row r="6">
      <c r="A6" s="5" t="inlineStr">
        <is>
          <t>東映アニメーション</t>
        </is>
      </c>
      <c r="B6" s="8" t="n">
        <v>937</v>
      </c>
      <c r="C6" s="5" t="inlineStr">
        <is>
          <t>アニメ製作</t>
        </is>
      </c>
      <c r="D6" s="7" t="inlineStr">
        <is>
          <t>2026/3期</t>
        </is>
      </c>
      <c r="E6" s="7" t="inlineStr"/>
    </row>
    <row r="7">
      <c r="A7" s="5" t="inlineStr">
        <is>
          <t>AOI TYO Holdings</t>
        </is>
      </c>
      <c r="B7" s="8" t="n">
        <v>511</v>
      </c>
      <c r="C7" s="5" t="inlineStr">
        <is>
          <t>広告・企業映像</t>
        </is>
      </c>
      <c r="D7" s="7" t="inlineStr">
        <is>
          <t>2020/12期</t>
        </is>
      </c>
      <c r="E7" s="7" t="inlineStr">
        <is>
          <t>その後 非公開化</t>
        </is>
      </c>
    </row>
    <row r="8">
      <c r="A8" s="5" t="inlineStr">
        <is>
          <t>東北新社</t>
        </is>
      </c>
      <c r="B8" s="8" t="n">
        <v>477</v>
      </c>
      <c r="C8" s="5" t="inlineStr">
        <is>
          <t>広告・企業映像</t>
        </is>
      </c>
      <c r="D8" s="7" t="inlineStr">
        <is>
          <t>2026/3期</t>
        </is>
      </c>
      <c r="E8" s="7" t="inlineStr">
        <is>
          <t>①制作の比較対象</t>
        </is>
      </c>
    </row>
    <row r="9">
      <c r="A9" s="5" t="inlineStr">
        <is>
          <t>HeyGen</t>
        </is>
      </c>
      <c r="B9" s="8" t="n">
        <v>300</v>
      </c>
      <c r="C9" s="5" t="inlineStr">
        <is>
          <t>AI動画・ARR</t>
        </is>
      </c>
      <c r="D9" s="7" t="inlineStr">
        <is>
          <t>$200M（1ドル150円換算）</t>
        </is>
      </c>
      <c r="E9" s="7" t="inlineStr">
        <is>
          <t>$100M→$200M を8ヶ月</t>
        </is>
      </c>
    </row>
    <row r="10">
      <c r="A10" s="5" t="inlineStr">
        <is>
          <t>Synthesia</t>
        </is>
      </c>
      <c r="B10" s="8" t="n">
        <v>210</v>
      </c>
      <c r="C10" s="5" t="inlineStr">
        <is>
          <t>AI動画・ARR</t>
        </is>
      </c>
      <c r="D10" s="7" t="inlineStr">
        <is>
          <t>$140M（1ドル150円換算）</t>
        </is>
      </c>
      <c r="E10" s="7" t="inlineStr">
        <is>
          <t>②ツールの比較対象</t>
        </is>
      </c>
    </row>
    <row r="11">
      <c r="A11" s="5" t="inlineStr">
        <is>
          <t>IG Port</t>
        </is>
      </c>
      <c r="B11" s="8" t="n">
        <v>141</v>
      </c>
      <c r="C11" s="5" t="inlineStr">
        <is>
          <t>アニメ製作</t>
        </is>
      </c>
      <c r="D11" s="7" t="inlineStr">
        <is>
          <t>2026/5期</t>
        </is>
      </c>
      <c r="E11" s="7" t="inlineStr"/>
    </row>
    <row r="12">
      <c r="A12" s="5" t="inlineStr">
        <is>
          <t>Runway</t>
        </is>
      </c>
      <c r="B12" s="43" t="inlineStr">
        <is>
          <t>非開示</t>
        </is>
      </c>
      <c r="C12" s="5" t="inlineStr">
        <is>
          <t>AI動画</t>
        </is>
      </c>
      <c r="D12" s="7" t="inlineStr">
        <is>
          <t>非開示</t>
        </is>
      </c>
      <c r="E12" s="7" t="inlineStr">
        <is>
          <t>売上を公表していない</t>
        </is>
      </c>
    </row>
    <row r="13">
      <c r="A13" s="5" t="inlineStr">
        <is>
          <t>Technicolor</t>
        </is>
      </c>
      <c r="B13" s="43" t="inlineStr">
        <is>
          <t>非開示</t>
        </is>
      </c>
      <c r="C13" s="5" t="inlineStr">
        <is>
          <t>VFX・ポスプロ</t>
        </is>
      </c>
      <c r="D13" s="7" t="inlineStr">
        <is>
          <t>2026年 経営破綻</t>
        </is>
      </c>
      <c r="E13" s="7" t="inlineStr">
        <is>
          <t>上場していた制作会社は消えつつある</t>
        </is>
      </c>
    </row>
    <row r="14">
      <c r="A14" s="48" t="inlineStr">
        <is>
          <t>【当社 5期（2031年）】</t>
        </is>
      </c>
      <c r="B14" s="49">
        <f>'損益計算書'!$G$12/100</f>
        <v/>
      </c>
      <c r="C14" s="48" t="inlineStr">
        <is>
          <t>①制作＋②ツール＋③C2C</t>
        </is>
      </c>
      <c r="D14" s="7" t="inlineStr">
        <is>
          <t>本計画</t>
        </is>
      </c>
    </row>
    <row r="16">
      <c r="A16" s="12" t="inlineStr">
        <is>
          <t>① 制作 ÷ 東北新社</t>
        </is>
      </c>
      <c r="B16" s="10">
        <f>'損益計算書'!$G$4/100/477</f>
        <v/>
      </c>
    </row>
    <row r="17">
      <c r="A17" s="12" t="inlineStr">
        <is>
          <t>② ツール（ARRベース）÷ Synthesia</t>
        </is>
      </c>
      <c r="B17" s="10">
        <f>'商品マスタ②'!$G$45/100/210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64" customWidth="1" min="4" max="4"/>
  </cols>
  <sheetData>
    <row r="1">
      <c r="A1" s="1" t="inlineStr">
        <is>
          <t>数字の出所と、［仮置き］の一覧</t>
        </is>
      </c>
    </row>
    <row r="2">
      <c r="A2" s="2" t="inlineStr">
        <is>
          <t>投資家に聞かれて最初に困るのがここ。実測値と仮置きを混ぜないこと。★は私（Claude）が置いた値。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区分</t>
        </is>
      </c>
      <c r="D3" s="3" t="inlineStr">
        <is>
          <t>出所・根拠</t>
        </is>
      </c>
    </row>
    <row r="4">
      <c r="A4" s="50" t="inlineStr">
        <is>
          <t>── 実測 ──</t>
        </is>
      </c>
      <c r="B4" s="43" t="inlineStr"/>
      <c r="C4" s="16" t="inlineStr"/>
      <c r="D4" s="7" t="inlineStr"/>
    </row>
    <row r="5">
      <c r="A5" s="5" t="inlineStr">
        <is>
          <t>国内 映像制作市場</t>
        </is>
      </c>
      <c r="B5" s="43" t="inlineStr">
        <is>
          <t>4,580億円</t>
        </is>
      </c>
      <c r="C5" s="16" t="inlineStr">
        <is>
          <t>実測</t>
        </is>
      </c>
      <c r="D5" s="7" t="inlineStr">
        <is>
          <t>矢野経済研究所（BtoB映像制作）</t>
        </is>
      </c>
    </row>
    <row r="6">
      <c r="A6" s="5" t="inlineStr">
        <is>
          <t>インターネット広告制作費</t>
        </is>
      </c>
      <c r="B6" s="43" t="inlineStr">
        <is>
          <t>4,922億円</t>
        </is>
      </c>
      <c r="C6" s="16" t="inlineStr">
        <is>
          <t>実測</t>
        </is>
      </c>
      <c r="D6" s="7" t="inlineStr">
        <is>
          <t>電通 2025年 日本の広告費（前年比104.0%）</t>
        </is>
      </c>
    </row>
    <row r="7">
      <c r="A7" s="5" t="inlineStr">
        <is>
          <t>法人数</t>
        </is>
      </c>
      <c r="B7" s="43" t="inlineStr">
        <is>
          <t>295万6,717社</t>
        </is>
      </c>
      <c r="C7" s="16" t="inlineStr">
        <is>
          <t>実測</t>
        </is>
      </c>
      <c r="D7" s="7" t="inlineStr">
        <is>
          <t>国税庁 令和5年度分 会社標本調査</t>
        </is>
      </c>
    </row>
    <row r="8">
      <c r="A8" s="5" t="inlineStr">
        <is>
          <t>中国 剪辑師 平均月給</t>
        </is>
      </c>
      <c r="B8" s="43" t="inlineStr">
        <is>
          <t>8,935元</t>
        </is>
      </c>
      <c r="C8" s="16" t="inlineStr">
        <is>
          <t>実測</t>
        </is>
      </c>
      <c r="D8" s="7" t="inlineStr">
        <is>
          <t>Indeed 中国。③の価格下限の起点</t>
        </is>
      </c>
    </row>
    <row r="9">
      <c r="A9" s="5" t="inlineStr">
        <is>
          <t>中国 微短劇 直接就業者</t>
        </is>
      </c>
      <c r="B9" s="43" t="inlineStr">
        <is>
          <t>約69万人</t>
        </is>
      </c>
      <c r="C9" s="16" t="inlineStr">
        <is>
          <t>実測</t>
        </is>
      </c>
      <c r="D9" s="7" t="inlineStr">
        <is>
          <t>中国網絡視聴協会 2024。必要人数の母数</t>
        </is>
      </c>
    </row>
    <row r="10">
      <c r="A10" s="5" t="inlineStr">
        <is>
          <t>Stripe 決済手数料</t>
        </is>
      </c>
      <c r="B10" s="43" t="inlineStr">
        <is>
          <t>国内カード3.6%／銀行振込1.5%</t>
        </is>
      </c>
      <c r="C10" s="16" t="inlineStr">
        <is>
          <t>実測</t>
        </is>
      </c>
      <c r="D10" s="7" t="inlineStr">
        <is>
          <t>stripe.com/pricing</t>
        </is>
      </c>
    </row>
    <row r="11">
      <c r="A11" s="5" t="inlineStr">
        <is>
          <t>S3 Standard 東京</t>
        </is>
      </c>
      <c r="B11" s="43" t="inlineStr">
        <is>
          <t>1TB/月 ≈ $25</t>
        </is>
      </c>
      <c r="C11" s="16" t="inlineStr">
        <is>
          <t>実測</t>
        </is>
      </c>
      <c r="D11" s="7" t="inlineStr">
        <is>
          <t>aws.amazon.com/s3/pricing</t>
        </is>
      </c>
    </row>
    <row r="12">
      <c r="A12" s="5" t="inlineStr">
        <is>
          <t>CloudFront 東京</t>
        </is>
      </c>
      <c r="B12" s="43" t="inlineStr">
        <is>
          <t>$0.085/GB</t>
        </is>
      </c>
      <c r="C12" s="16" t="inlineStr">
        <is>
          <t>実測</t>
        </is>
      </c>
      <c r="D12" s="7" t="inlineStr">
        <is>
          <t>同上</t>
        </is>
      </c>
    </row>
    <row r="13">
      <c r="A13" s="5" t="inlineStr">
        <is>
          <t>ベンチマーク各社の売上</t>
        </is>
      </c>
      <c r="B13" s="43" t="inlineStr">
        <is>
          <t>業界ベンチマーク シート</t>
        </is>
      </c>
      <c r="C13" s="16" t="inlineStr">
        <is>
          <t>実測</t>
        </is>
      </c>
      <c r="D13" s="7" t="inlineStr">
        <is>
          <t>各社の決算短信・公表ARR</t>
        </is>
      </c>
    </row>
    <row r="14">
      <c r="A14" s="5" t="inlineStr">
        <is>
          <t>東証グロース 上場維持基準</t>
        </is>
      </c>
      <c r="B14" s="43" t="inlineStr">
        <is>
          <t>5年経過後 時価総額100億円</t>
        </is>
      </c>
      <c r="C14" s="16" t="inlineStr">
        <is>
          <t>実測</t>
        </is>
      </c>
      <c r="D14" s="7" t="inlineStr">
        <is>
          <t>日本取引所グループ</t>
        </is>
      </c>
    </row>
    <row r="15">
      <c r="A15" s="50" t="inlineStr">
        <is>
          <t>── 確認できなかった ──</t>
        </is>
      </c>
      <c r="B15" s="43" t="inlineStr"/>
      <c r="C15" s="16" t="inlineStr"/>
      <c r="D15" s="7" t="inlineStr"/>
    </row>
    <row r="16">
      <c r="A16" s="5" t="inlineStr">
        <is>
          <t>スキルシェア市場の映像比率</t>
        </is>
      </c>
      <c r="B16" s="43" t="inlineStr">
        <is>
          <t>非公表</t>
        </is>
      </c>
      <c r="C16" s="17" t="inlineStr">
        <is>
          <t>確認不能</t>
        </is>
      </c>
      <c r="D16" s="7" t="inlineStr">
        <is>
          <t>ココナラ決算・矢野経済とも分離開示なし</t>
        </is>
      </c>
    </row>
    <row r="17">
      <c r="A17" s="50" t="inlineStr">
        <is>
          <t>── 松田さんの決定 ──</t>
        </is>
      </c>
      <c r="B17" s="43" t="inlineStr"/>
      <c r="C17" s="16" t="inlineStr"/>
      <c r="D17" s="7" t="inlineStr"/>
    </row>
    <row r="18">
      <c r="A18" s="5" t="inlineStr">
        <is>
          <t>③ 手数料率</t>
        </is>
      </c>
      <c r="B18" s="43" t="inlineStr">
        <is>
          <t>一律30%（クリエイター70%）</t>
        </is>
      </c>
      <c r="C18" s="16" t="inlineStr">
        <is>
          <t>決定</t>
        </is>
      </c>
      <c r="D18" s="7" t="inlineStr">
        <is>
          <t>30%から決済・送金・システム原価を引く</t>
        </is>
      </c>
    </row>
    <row r="19">
      <c r="A19" s="5" t="inlineStr">
        <is>
          <t>③ 送金・為替</t>
        </is>
      </c>
      <c r="B19" s="43" t="inlineStr">
        <is>
          <t>3%</t>
        </is>
      </c>
      <c r="C19" s="16" t="inlineStr">
        <is>
          <t>決定</t>
        </is>
      </c>
      <c r="D19" s="7" t="inlineStr">
        <is>
          <t>中国の制作パートナー経由</t>
        </is>
      </c>
    </row>
    <row r="20">
      <c r="A20" s="5" t="inlineStr">
        <is>
          <t>③ 成約位置</t>
        </is>
      </c>
      <c r="B20" s="43" t="inlineStr">
        <is>
          <t>均等（価格帯の中点）</t>
        </is>
      </c>
      <c r="C20" s="16" t="inlineStr">
        <is>
          <t>決定</t>
        </is>
      </c>
      <c r="D20" s="7" t="inlineStr">
        <is>
          <t>下限寄りに寄ると③は1/3になる</t>
        </is>
      </c>
    </row>
    <row r="21">
      <c r="A21" s="5" t="inlineStr">
        <is>
          <t>① クリエイター支払</t>
        </is>
      </c>
      <c r="B21" s="43" t="inlineStr">
        <is>
          <t>厚いまま（実効時給3,000〜6,000円）</t>
        </is>
      </c>
      <c r="C21" s="16" t="inlineStr">
        <is>
          <t>決定</t>
        </is>
      </c>
      <c r="D21" s="7" t="inlineStr">
        <is>
          <t>③より高く払い優先的に押さえる</t>
        </is>
      </c>
    </row>
    <row r="22">
      <c r="A22" s="5" t="inlineStr">
        <is>
          <t>②-C セルフサーブ</t>
        </is>
      </c>
      <c r="B22" s="43" t="inlineStr">
        <is>
          <t>②に置く／用途特化</t>
        </is>
      </c>
      <c r="C22" s="16" t="inlineStr">
        <is>
          <t>決定</t>
        </is>
      </c>
      <c r="D22" s="7" t="inlineStr">
        <is>
          <t>汎用エディタは作らない</t>
        </is>
      </c>
    </row>
    <row r="23">
      <c r="A23" s="50" t="inlineStr">
        <is>
          <t>── ★私が置いた値 ──</t>
        </is>
      </c>
      <c r="B23" s="43" t="inlineStr"/>
      <c r="C23" s="16" t="inlineStr"/>
      <c r="D23" s="7" t="inlineStr"/>
    </row>
    <row r="24">
      <c r="A24" s="5" t="inlineStr">
        <is>
          <t>AX倍率</t>
        </is>
      </c>
      <c r="B24" s="43" t="inlineStr">
        <is>
          <t>1.0 → 4.0倍</t>
        </is>
      </c>
      <c r="C24" s="17" t="inlineStr">
        <is>
          <t>★</t>
        </is>
      </c>
      <c r="D24" s="7" t="inlineStr">
        <is>
          <t>未実証。最重要前提。3倍でも営業利益率は成立する</t>
        </is>
      </c>
    </row>
    <row r="25">
      <c r="A25" s="5" t="inlineStr">
        <is>
          <t>① 商品の値引率</t>
        </is>
      </c>
      <c r="B25" s="43" t="inlineStr">
        <is>
          <t>一律50%</t>
        </is>
      </c>
      <c r="C25" s="17" t="inlineStr">
        <is>
          <t>★</t>
        </is>
      </c>
      <c r="D25" s="7" t="inlineStr">
        <is>
          <t>企業の現行支払の半額。顧客が浮かせる額が提案の中身</t>
        </is>
      </c>
    </row>
    <row r="26">
      <c r="A26" s="5" t="inlineStr">
        <is>
          <t>① 難度係数</t>
        </is>
      </c>
      <c r="B26" s="43" t="inlineStr">
        <is>
          <t>3.0 / 1.8 / 1.0 / 0.8</t>
        </is>
      </c>
      <c r="C26" s="17" t="inlineStr">
        <is>
          <t>★</t>
        </is>
      </c>
      <c r="D26" s="7" t="inlineStr">
        <is>
          <t>商品構成比から平均難度を導出している</t>
        </is>
      </c>
    </row>
    <row r="27">
      <c r="A27" s="5" t="inlineStr">
        <is>
          <t>① 商品構成比</t>
        </is>
      </c>
      <c r="B27" s="43" t="inlineStr">
        <is>
          <t>年を追って上位帯へシフト</t>
        </is>
      </c>
      <c r="C27" s="17" t="inlineStr">
        <is>
          <t>★</t>
        </is>
      </c>
      <c r="D27" s="7" t="inlineStr">
        <is>
          <t>事例が溜まるほど上の帯が取れる前提</t>
        </is>
      </c>
    </row>
    <row r="28">
      <c r="A28" s="5" t="inlineStr">
        <is>
          <t>① 営業の担当社数・リピート</t>
        </is>
      </c>
      <c r="B28" s="43" t="inlineStr">
        <is>
          <t>40社／年6本</t>
        </is>
      </c>
      <c r="C28" s="17" t="inlineStr">
        <is>
          <t>★</t>
        </is>
      </c>
      <c r="D28" s="7" t="inlineStr">
        <is>
          <t>エンタープライズ営業の標準的な水準</t>
        </is>
      </c>
    </row>
    <row r="29">
      <c r="A29" s="5" t="inlineStr">
        <is>
          <t>② SKU単価・席数・Ent比率</t>
        </is>
      </c>
      <c r="B29" s="43" t="inlineStr">
        <is>
          <t>商品マスタ② 参照</t>
        </is>
      </c>
      <c r="C29" s="17" t="inlineStr">
        <is>
          <t>★</t>
        </is>
      </c>
      <c r="D29" s="7" t="inlineStr">
        <is>
          <t>チェックポイントに重い値付け</t>
        </is>
      </c>
    </row>
    <row r="30">
      <c r="A30" s="5" t="inlineStr">
        <is>
          <t>③ 工数・上限価格・件数</t>
        </is>
      </c>
      <c r="B30" s="43" t="inlineStr">
        <is>
          <t>商品マスタ③ 参照</t>
        </is>
      </c>
      <c r="C30" s="17" t="inlineStr">
        <is>
          <t>★</t>
        </is>
      </c>
      <c r="D30" s="7" t="inlineStr">
        <is>
          <t>上限は日本の支払意思。実測ではない</t>
        </is>
      </c>
    </row>
    <row r="31">
      <c r="A31" s="5" t="inlineStr">
        <is>
          <t>③ システム原価の内訳</t>
        </is>
      </c>
      <c r="B31" s="43" t="inlineStr">
        <is>
          <t>尺・保管期間・トークン数</t>
        </is>
      </c>
      <c r="C31" s="17" t="inlineStr">
        <is>
          <t>★</t>
        </is>
      </c>
      <c r="D31" s="7" t="inlineStr">
        <is>
          <t>単価は公表値、使用量は仮置き</t>
        </is>
      </c>
    </row>
    <row r="32">
      <c r="A32" s="5" t="inlineStr">
        <is>
          <t>希薄化係数</t>
        </is>
      </c>
      <c r="B32" s="43" t="inlineStr">
        <is>
          <t>資本構成の推移 参照</t>
        </is>
      </c>
      <c r="C32" s="17" t="inlineStr">
        <is>
          <t>★</t>
        </is>
      </c>
      <c r="D32" s="7" t="inlineStr">
        <is>
          <t>シリーズA post 15億は未交渉</t>
        </is>
      </c>
    </row>
    <row r="33">
      <c r="A33" s="50" t="inlineStr">
        <is>
          <t>── 未確定 ──</t>
        </is>
      </c>
      <c r="B33" s="43" t="inlineStr"/>
      <c r="C33" s="16" t="inlineStr"/>
      <c r="D33" s="7" t="inlineStr"/>
    </row>
    <row r="34">
      <c r="A34" s="5" t="inlineStr">
        <is>
          <t>中国の映像制作パートナー</t>
        </is>
      </c>
      <c r="B34" s="43" t="inlineStr">
        <is>
          <t>社名 ［記入予定］</t>
        </is>
      </c>
      <c r="C34" s="17" t="inlineStr">
        <is>
          <t>未確定</t>
        </is>
      </c>
      <c r="D34" s="7" t="inlineStr">
        <is>
          <t>契約前。権利は日本側に帰属する設計</t>
        </is>
      </c>
    </row>
    <row r="35">
      <c r="A35" s="5" t="inlineStr">
        <is>
          <t>パートナーの取り分</t>
        </is>
      </c>
      <c r="B35" s="43" t="inlineStr">
        <is>
          <t>30%側か70%側か</t>
        </is>
      </c>
      <c r="C35" s="17" t="inlineStr">
        <is>
          <t>未確定</t>
        </is>
      </c>
      <c r="D35" s="7" t="inlineStr">
        <is>
          <t>契約で決まる。利益に直結する</t>
        </is>
      </c>
    </row>
    <row r="36">
      <c r="A36" s="5" t="inlineStr">
        <is>
          <t>業務委託の契約設計</t>
        </is>
      </c>
      <c r="B36" s="43" t="inlineStr">
        <is>
          <t>─</t>
        </is>
      </c>
      <c r="C36" s="17" t="inlineStr">
        <is>
          <t>未着手</t>
        </is>
      </c>
      <c r="D36" s="7" t="inlineStr">
        <is>
          <t>偽装請負と読まれない設計。1年目に弁護士と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62" customWidth="1" min="4" max="4"/>
  </cols>
  <sheetData>
    <row r="1">
      <c r="A1" s="1" t="inlineStr">
        <is>
          <t>改訂履歴</t>
        </is>
      </c>
    </row>
    <row r="2">
      <c r="A2" s="2" t="inlineStr">
        <is>
          <t>数字が変わった理由を残す。投資家に「前はこうだったのでは」と聞かれたときに答えられるようにするため。</t>
        </is>
      </c>
    </row>
    <row r="3" ht="24" customHeight="1">
      <c r="A3" s="3" t="inlineStr">
        <is>
          <t>版</t>
        </is>
      </c>
      <c r="B3" s="3" t="inlineStr">
        <is>
          <t>日付</t>
        </is>
      </c>
      <c r="C3" s="3" t="inlineStr">
        <is>
          <t>何を変えたか</t>
        </is>
      </c>
      <c r="D3" s="3" t="inlineStr">
        <is>
          <t>理由・出所</t>
        </is>
      </c>
    </row>
    <row r="4">
      <c r="A4" s="51" t="inlineStr">
        <is>
          <t>0.4</t>
        </is>
      </c>
      <c r="B4" s="52" t="inlineStr">
        <is>
          <t>2026-09-23</t>
        </is>
      </c>
      <c r="C4" s="5" t="inlineStr">
        <is>
          <t>B案・強気。制作を半減しツールとC2Cを伸ばす</t>
        </is>
      </c>
      <c r="D4" s="7" t="inlineStr">
        <is>
          <t>人手に比例する①で無理をして、比例しない②③を小さく置いていたため</t>
        </is>
      </c>
    </row>
    <row r="5">
      <c r="A5" s="16" t="inlineStr"/>
      <c r="B5" s="52" t="inlineStr"/>
      <c r="C5" s="5" t="inlineStr">
        <is>
          <t>市場規模の次に「業界の売上」を新設</t>
        </is>
      </c>
      <c r="D5" s="7" t="inlineStr">
        <is>
          <t>実在企業と並べないと88億の位置が読めない</t>
        </is>
      </c>
    </row>
    <row r="6">
      <c r="A6" s="51" t="inlineStr">
        <is>
          <t>0.5</t>
        </is>
      </c>
      <c r="B6" s="52" t="inlineStr">
        <is>
          <t>2026-09-23</t>
        </is>
      </c>
      <c r="C6" s="5" t="inlineStr">
        <is>
          <t>一本値をやめ、事業×商品まで割って積み上げ</t>
        </is>
      </c>
      <c r="D6" s="7" t="inlineStr">
        <is>
          <t>「平均単価60万」は94.5万の商売と14万の商売を1つの数字に潰していた</t>
        </is>
      </c>
    </row>
    <row r="7">
      <c r="A7" s="16" t="inlineStr"/>
      <c r="B7" s="52" t="inlineStr"/>
      <c r="C7" s="5" t="inlineStr">
        <is>
          <t>① 単価を「企業の現行支払×50%」に。本数は営業体制から</t>
        </is>
      </c>
      <c r="D7" s="7" t="inlineStr">
        <is>
          <t>見積比較サイトの相場帯は中小向けに偏る。市場シェアは結果であって根拠ではない</t>
        </is>
      </c>
    </row>
    <row r="8">
      <c r="A8" s="16" t="inlineStr"/>
      <c r="B8" s="52" t="inlineStr"/>
      <c r="C8" s="5" t="inlineStr">
        <is>
          <t>② 5SKU・法人2階建て・②-Cセルフサーブを新設</t>
        </is>
      </c>
      <c r="D8" s="7" t="inlineStr">
        <is>
          <t>チェックポイントと工程ツールは別売り。LoRA個別構築は②の売上</t>
        </is>
      </c>
    </row>
    <row r="9">
      <c r="A9" s="16" t="inlineStr"/>
      <c r="B9" s="52" t="inlineStr"/>
      <c r="C9" s="5" t="inlineStr">
        <is>
          <t>③ 14商品。下限はクリエイターの留保価格、上限は日本の支払意思</t>
        </is>
      </c>
      <c r="D9" s="7" t="inlineStr">
        <is>
          <t>中国 剪辑師 平均月給8,935元（Indeed中国）から時給を出して下限を逆算</t>
        </is>
      </c>
    </row>
    <row r="10">
      <c r="A10" s="51" t="inlineStr">
        <is>
          <t>0.6</t>
        </is>
      </c>
      <c r="B10" s="52" t="inlineStr">
        <is>
          <t>2026-09-23</t>
        </is>
      </c>
      <c r="C10" s="5" t="inlineStr">
        <is>
          <t>③ 工数は旧maxを標準に置き直し</t>
        </is>
      </c>
      <c r="D10" s="7" t="inlineStr">
        <is>
          <t>ミニマムの見立てが甘かった。ウェディングの下限は11,500→34,500円</t>
        </is>
      </c>
    </row>
    <row r="11">
      <c r="A11" s="16" t="inlineStr"/>
      <c r="B11" s="52" t="inlineStr"/>
      <c r="C11" s="5" t="inlineStr">
        <is>
          <t>③ 手数料を一律30%に。30%から決済・送金・システム原価を引く</t>
        </is>
      </c>
      <c r="D11" s="7" t="inlineStr">
        <is>
          <t>Stripe 国内カード3.6%・銀行振込1.5%／送金3%／システム原価53円/件</t>
        </is>
      </c>
    </row>
    <row r="12">
      <c r="A12" s="16" t="inlineStr"/>
      <c r="B12" s="52" t="inlineStr"/>
      <c r="C12" s="5" t="inlineStr">
        <is>
          <t>③ システム原価を商品別に積み上げ（120円→53円）</t>
        </is>
      </c>
      <c r="D12" s="7" t="inlineStr">
        <is>
          <t>120円は根拠のない置き値だった。S3 3.66円/GB月・CloudFront 12.75円/GBから再計算</t>
        </is>
      </c>
    </row>
    <row r="13">
      <c r="A13" s="16" t="inlineStr"/>
      <c r="B13" s="52" t="inlineStr"/>
      <c r="C13" s="5" t="inlineStr">
        <is>
          <t>② ACVとARRを分離。①③のARRはゼロと明示</t>
        </is>
      </c>
      <c r="D13" s="7" t="inlineStr">
        <is>
          <t>LoRA個別構築は一過性。Synthesia・HeyGenの公表値はARRなので土俵を揃える</t>
        </is>
      </c>
    </row>
    <row r="14">
      <c r="A14" s="16" t="inlineStr"/>
      <c r="B14" s="52" t="inlineStr"/>
      <c r="C14" s="5" t="inlineStr">
        <is>
          <t>エンジニアを社員40名 → PM4名＋ベトナム委託19名</t>
        </is>
      </c>
      <c r="D14" s="7" t="inlineStr">
        <is>
          <t>オフショア開発.com 2026。ベトナムBSE59.0/PG40.1のピラミッド、加重527万/年</t>
        </is>
      </c>
    </row>
    <row r="15">
      <c r="A15" s="16" t="inlineStr"/>
      <c r="B15" s="52" t="inlineStr"/>
      <c r="C15" s="5" t="inlineStr">
        <is>
          <t>エンジニアにもAX倍率（5期2.2倍）</t>
        </is>
      </c>
      <c r="D15" s="7" t="inlineStr">
        <is>
          <t>ミドル中心なのでレビューが制約。制作の4.0倍より低く置く</t>
        </is>
      </c>
    </row>
    <row r="16">
      <c r="A16" s="16" t="inlineStr"/>
      <c r="B16" s="52" t="inlineStr"/>
      <c r="C16" s="5" t="inlineStr">
        <is>
          <t>中国・東欧・ロシアを委託先から外す</t>
        </is>
      </c>
      <c r="D16" s="7" t="inlineStr">
        <is>
          <t>中国71.7・東欧104.0はベトナムより高い。ロシアは外為法の役務取引規制で対象外</t>
        </is>
      </c>
    </row>
    <row r="17">
      <c r="A17" s="16" t="inlineStr"/>
      <c r="B17" s="52" t="inlineStr"/>
      <c r="C17" s="5" t="inlineStr">
        <is>
          <t>中国クリエイターの登録数を採用計画（入力）に。1期30名</t>
        </is>
      </c>
      <c r="D17" s="7" t="inlineStr">
        <is>
          <t>工数から導出される数ではない。先に人を集めないと受注できない</t>
        </is>
      </c>
    </row>
    <row r="18">
      <c r="A18" s="16" t="inlineStr"/>
      <c r="B18" s="52" t="inlineStr"/>
      <c r="C18" s="5" t="inlineStr">
        <is>
          <t>③ の価格を中点から上限に</t>
        </is>
      </c>
      <c r="D18" s="7" t="inlineStr">
        <is>
          <t>全取引が発注者の支払意思の上限で成約する前提。最も強気の置き方</t>
        </is>
      </c>
    </row>
    <row r="19">
      <c r="A19" s="16" t="inlineStr"/>
      <c r="B19" s="52" t="inlineStr"/>
      <c r="C19" s="5" t="inlineStr">
        <is>
          <t>管理・コーポレートを6名→3名</t>
        </is>
      </c>
      <c r="D19" s="7" t="inlineStr">
        <is>
          <t>AX化と BPO。社外の顧問弁護士等が補う前提。その費用が4%に収まるかを検算</t>
        </is>
      </c>
    </row>
    <row r="20">
      <c r="A20" s="51" t="inlineStr">
        <is>
          <t>0.7</t>
        </is>
      </c>
      <c r="B20" s="52" t="inlineStr">
        <is>
          <t>2026-09-23</t>
        </is>
      </c>
      <c r="C20" s="5" t="inlineStr">
        <is>
          <t>③-C の件数を調整し、5期売上を120億に</t>
        </is>
      </c>
      <c r="D20" s="7" t="inlineStr">
        <is>
          <t>個人オーダー 8,000→5,900件／企業オーダー 12,000→8,900件（比例で74%に）</t>
        </is>
      </c>
    </row>
    <row r="21">
      <c r="A21" s="16" t="inlineStr"/>
      <c r="B21" s="52" t="inlineStr"/>
      <c r="C21" s="5" t="inlineStr">
        <is>
          <t>版番号を繰り下げ（1.x → 0.x）</t>
        </is>
      </c>
      <c r="D21" s="7" t="inlineStr">
        <is>
          <t>1.0 を提出版に充てるため。旧1.4→0.4／1.5→0.5／1.6→0.6</t>
        </is>
      </c>
    </row>
    <row r="23">
      <c r="A23" s="38" t="inlineStr">
        <is>
          <t>⚠ 0.4 → 0.5 は構造の作り直し、0.5 → 0.6 は前提を実勢データで詰めたもの、0.7 は③-Cの件数を落として120億に合わせたもの。5期の売上は 88.1億 → 130.3億 → 120.0億、社員は 61名 → 22名。数字が良くなった分だけ、前提の説明責任が重くなっている。</t>
        </is>
      </c>
    </row>
    <row r="24">
      <c r="A24" s="38" t="inlineStr">
        <is>
          <t>⚠ PPTX「投資家向け企画書 Ver1.4.pptx」はまだ旧番号のまま。改番するかは松田さんの指示待ち。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2026-09-23T10:49:39Z</dcterms:created>
  <dcterms:modified xmlns:dcterms="http://purl.org/dc/terms/" xmlns:xsi="http://www.w3.org/2001/XMLSchema-instance" xsi:type="dcterms:W3CDTF">2026-09-23T10:49:39Z</dcterms:modified>
</cp:coreProperties>
</file>