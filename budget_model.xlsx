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初期費用" sheetId="2" state="visible" r:id="rId2"/>
    <sheet name="月次固定費" sheetId="3" state="visible" r:id="rId3"/>
    <sheet name="資金繰り" sheetId="4" state="visible" r:id="rId4"/>
    <sheet name="必要調達" sheetId="5" state="visible" r:id="rId5"/>
    <sheet name="年次P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0000FF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0" pivotButton="0" quotePrefix="0" xfId="0"/>
    <xf numFmtId="0" fontId="7" fillId="2" borderId="0" pivotButton="0" quotePrefix="0" xfId="0"/>
    <xf numFmtId="164" fontId="7" fillId="2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5" fontId="7" fillId="2" borderId="0" pivotButton="0" quotePrefix="0" xfId="0"/>
    <xf numFmtId="0" fontId="8" fillId="3" borderId="1" pivotButton="0" quotePrefix="0" xfId="0"/>
    <xf numFmtId="166" fontId="4" fillId="0" borderId="0" pivotButton="0" quotePrefix="0" xfId="0"/>
    <xf numFmtId="166" fontId="5" fillId="0" borderId="0" pivotButton="0" quotePrefix="0" xfId="0"/>
    <xf numFmtId="0" fontId="8" fillId="0" borderId="0" pivotButton="0" quotePrefix="0" xfId="0"/>
    <xf numFmtId="166" fontId="8" fillId="0" borderId="2" pivotButton="0" quotePrefix="0" xfId="0"/>
    <xf numFmtId="165" fontId="8" fillId="0" borderId="0" pivotButton="0" quotePrefix="0" xfId="0"/>
    <xf numFmtId="164" fontId="6" fillId="0" borderId="0" pivotButton="0" quotePrefix="0" xfId="0"/>
    <xf numFmtId="164" fontId="8" fillId="0" borderId="2" pivotButton="0" quotePrefix="0" xfId="0"/>
    <xf numFmtId="164" fontId="8" fillId="4" borderId="2" pivotButton="0" quotePrefix="0" xfId="0"/>
    <xf numFmtId="164" fontId="8" fillId="0" borderId="0" pivotButton="0" quotePrefix="0" xfId="0"/>
    <xf numFmtId="166" fontId="8" fillId="0" borderId="0" pivotButton="0" quotePrefix="0" xfId="0"/>
    <xf numFmtId="0" fontId="8" fillId="3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164" fontId="5" fillId="0" borderId="0" pivotButton="0" quotePrefix="0" xfId="0"/>
    <xf numFmtId="164" fontId="8" fillId="4" borderId="0" pivotButton="0" quotePrefix="0" xfId="0"/>
    <xf numFmtId="166" fontId="6" fillId="0" borderId="0" pivotButton="0" quotePrefix="0" xfId="0"/>
    <xf numFmtId="164" fontId="8" fillId="2" borderId="0" pivotButton="0" quotePrefix="0" xfId="0"/>
    <xf numFmtId="0" fontId="8" fillId="3" borderId="0" applyAlignment="1" pivotButton="0" quotePrefix="0" xfId="0">
      <alignment horizontal="center" wrapText="1"/>
    </xf>
    <xf numFmtId="165" fontId="5" fillId="0" borderId="0" pivotButton="0" quotePrefix="0" xfId="0"/>
    <xf numFmtId="165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46" customWidth="1" min="6" max="6"/>
  </cols>
  <sheetData>
    <row r="1">
      <c r="A1" s="1" t="inlineStr">
        <is>
          <t>AI映像制作事業 — 予算モデル(保守版)</t>
        </is>
      </c>
    </row>
    <row r="2">
      <c r="A2" s="2" t="inlineStr">
        <is>
          <t>単位: 万円 / 1年目 = 2026年10月〜2027年9月</t>
        </is>
      </c>
    </row>
    <row r="4">
      <c r="A4" s="3" t="inlineStr">
        <is>
          <t>凡例</t>
        </is>
      </c>
    </row>
    <row r="5">
      <c r="A5" s="4" t="inlineStr">
        <is>
          <t>青字</t>
        </is>
      </c>
      <c r="B5" s="2" t="inlineStr">
        <is>
          <t>入力セル。ここを書き換える</t>
        </is>
      </c>
    </row>
    <row r="6">
      <c r="A6" s="5" t="inlineStr">
        <is>
          <t>黒字</t>
        </is>
      </c>
      <c r="B6" s="2" t="inlineStr">
        <is>
          <t>計算式。編集しない</t>
        </is>
      </c>
    </row>
    <row r="7">
      <c r="A7" s="6" t="inlineStr">
        <is>
          <t>緑字</t>
        </is>
      </c>
      <c r="B7" s="2" t="inlineStr">
        <is>
          <t>他シートへの参照</t>
        </is>
      </c>
    </row>
    <row r="8">
      <c r="A8" s="7" t="inlineStr">
        <is>
          <t>黄色の網掛け</t>
        </is>
      </c>
      <c r="B8" s="2" t="inlineStr">
        <is>
          <t>最重要の前提。まずここを検証する</t>
        </is>
      </c>
    </row>
    <row r="10">
      <c r="A10" s="3" t="inlineStr">
        <is>
          <t>シナリオ</t>
        </is>
      </c>
    </row>
    <row r="11">
      <c r="A11" s="5" t="inlineStr">
        <is>
          <t>シナリオ選択(1=楽観 / 2=標準 / 3=実行可能版)</t>
        </is>
      </c>
      <c r="B11" s="8" t="n">
        <v>3</v>
      </c>
      <c r="C11" s="2" t="inlineStr">
        <is>
          <t>← 1〜3 を入れると各シートの金額が切り替わります</t>
        </is>
      </c>
    </row>
    <row r="13">
      <c r="A13" s="3" t="inlineStr">
        <is>
          <t>調達</t>
        </is>
      </c>
    </row>
    <row r="14">
      <c r="A14" s="5" t="inlineStr">
        <is>
          <t>資本金(自己資金)</t>
        </is>
      </c>
      <c r="B14" s="9" t="n">
        <v>800</v>
      </c>
      <c r="C14" s="2" t="inlineStr">
        <is>
          <t>設立時に払込</t>
        </is>
      </c>
    </row>
    <row r="15">
      <c r="A15" s="5" t="inlineStr">
        <is>
          <t>創業融資</t>
        </is>
      </c>
      <c r="B15" s="9" t="n">
        <v>2000</v>
      </c>
      <c r="C15" s="2" t="inlineStr">
        <is>
          <t>公庫 + 制度融資の協調</t>
        </is>
      </c>
    </row>
    <row r="16">
      <c r="A16" s="5" t="inlineStr">
        <is>
          <t>融資の着金月(1=2026/10)</t>
        </is>
      </c>
      <c r="B16" s="10" t="n">
        <v>2</v>
      </c>
      <c r="C16" s="2" t="inlineStr">
        <is>
          <t>申込から1〜1.5ヶ月</t>
        </is>
      </c>
    </row>
    <row r="17">
      <c r="A17" s="5" t="inlineStr">
        <is>
          <t>融資金利(年)</t>
        </is>
      </c>
      <c r="B17" s="11" t="n">
        <v>0.03</v>
      </c>
      <c r="C17" s="2" t="inlineStr">
        <is>
          <t>公庫 創業期・無担保の想定</t>
        </is>
      </c>
    </row>
    <row r="18">
      <c r="A18" s="5" t="inlineStr">
        <is>
          <t>目標バッファ(月数)</t>
        </is>
      </c>
      <c r="B18" s="10" t="n">
        <v>3</v>
      </c>
      <c r="C18" s="2" t="inlineStr">
        <is>
          <t>1年目末に残したい固定費の月数</t>
        </is>
      </c>
    </row>
    <row r="20">
      <c r="A20" s="3" t="inlineStr">
        <is>
          <t>単価・入金</t>
        </is>
      </c>
    </row>
    <row r="21">
      <c r="A21" s="5" t="inlineStr">
        <is>
          <t>平均単価(1本)</t>
        </is>
      </c>
      <c r="B21" s="9" t="n">
        <v>48</v>
      </c>
      <c r="C21" s="2" t="inlineStr">
        <is>
          <t>企業発注の中央値54万より保守的</t>
        </is>
      </c>
    </row>
    <row r="22">
      <c r="A22" s="5" t="inlineStr">
        <is>
          <t>入金サイト(ヶ月)</t>
        </is>
      </c>
      <c r="B22" s="9" t="n">
        <v>1</v>
      </c>
      <c r="C22" s="2" t="inlineStr">
        <is>
          <t>納品の翌月末入金</t>
        </is>
      </c>
    </row>
    <row r="23">
      <c r="A23" s="5" t="inlineStr">
        <is>
          <t>予備費率(初期費用に対して)</t>
        </is>
      </c>
      <c r="B23" s="12" t="n">
        <v>0.15</v>
      </c>
      <c r="C23" s="2" t="inlineStr">
        <is>
          <t>創業期は必ず想定外が出る。15〜20%</t>
        </is>
      </c>
    </row>
    <row r="25">
      <c r="A25" s="3" t="inlineStr">
        <is>
          <t>変動費 — 1本あたり</t>
        </is>
      </c>
    </row>
    <row r="26">
      <c r="A26" s="13" t="inlineStr">
        <is>
          <t>項目</t>
        </is>
      </c>
      <c r="B26" s="13" t="inlineStr">
        <is>
          <t>楽観</t>
        </is>
      </c>
      <c r="C26" s="13" t="inlineStr">
        <is>
          <t>標準</t>
        </is>
      </c>
      <c r="D26" s="13" t="inlineStr">
        <is>
          <t>実行可能版</t>
        </is>
      </c>
      <c r="E26" s="13" t="inlineStr">
        <is>
          <t>採用額</t>
        </is>
      </c>
      <c r="F26" s="13" t="inlineStr">
        <is>
          <t>備考</t>
        </is>
      </c>
    </row>
    <row r="27">
      <c r="A27" s="5" t="inlineStr">
        <is>
          <t>個人クリエイターへの支払</t>
        </is>
      </c>
      <c r="B27" s="14" t="n">
        <v>12</v>
      </c>
      <c r="C27" s="14" t="n">
        <v>13</v>
      </c>
      <c r="D27" s="14" t="n">
        <v>13</v>
      </c>
      <c r="E27" s="15">
        <f>INDEX(B27:D27,$B$11)</f>
        <v/>
      </c>
      <c r="F27" s="2" t="inlineStr">
        <is>
          <t>Bランク基準。P0の有償テストで実測する</t>
        </is>
      </c>
    </row>
    <row r="28">
      <c r="A28" s="5" t="inlineStr">
        <is>
          <t>一次レビュー報酬(Aランク)</t>
        </is>
      </c>
      <c r="B28" s="14" t="n">
        <v>3</v>
      </c>
      <c r="C28" s="14" t="n">
        <v>3</v>
      </c>
      <c r="D28" s="14" t="n">
        <v>3</v>
      </c>
      <c r="E28" s="15">
        <f>INDEX(B28:D28,$B$11)</f>
        <v/>
      </c>
      <c r="F28" s="2" t="inlineStr">
        <is>
          <t>品質を人で担保する部分。削らない</t>
        </is>
      </c>
    </row>
    <row r="29">
      <c r="A29" s="5" t="inlineStr">
        <is>
          <t>AIツール従量</t>
        </is>
      </c>
      <c r="B29" s="14" t="n">
        <v>1.5</v>
      </c>
      <c r="C29" s="14" t="n">
        <v>2</v>
      </c>
      <c r="D29" s="14" t="n">
        <v>2</v>
      </c>
      <c r="E29" s="15">
        <f>INDEX(B29:D29,$B$11)</f>
        <v/>
      </c>
      <c r="F29" s="2" t="inlineStr">
        <is>
          <t>やり直しが発生する</t>
        </is>
      </c>
    </row>
    <row r="30">
      <c r="A30" s="5" t="inlineStr">
        <is>
          <t>素材・音源ライセンス</t>
        </is>
      </c>
      <c r="B30" s="14" t="n">
        <v>0.5</v>
      </c>
      <c r="C30" s="14" t="n">
        <v>1</v>
      </c>
      <c r="D30" s="14" t="n">
        <v>1</v>
      </c>
      <c r="E30" s="15">
        <f>INDEX(B30:D30,$B$11)</f>
        <v/>
      </c>
      <c r="F30" s="2" t="inlineStr">
        <is>
          <t>商用利用可のもの</t>
        </is>
      </c>
    </row>
    <row r="31">
      <c r="A31" s="5" t="inlineStr">
        <is>
          <t>品質バッファ</t>
        </is>
      </c>
      <c r="B31" s="14" t="n">
        <v>1.5</v>
      </c>
      <c r="C31" s="14" t="n">
        <v>2</v>
      </c>
      <c r="D31" s="14" t="n">
        <v>2</v>
      </c>
      <c r="E31" s="15">
        <f>INDEX(B31:D31,$B$11)</f>
        <v/>
      </c>
      <c r="F31" s="2" t="inlineStr">
        <is>
          <t>作り直し・追加アサイン</t>
        </is>
      </c>
    </row>
    <row r="32">
      <c r="A32" s="5" t="inlineStr">
        <is>
          <t>為替バッファ</t>
        </is>
      </c>
      <c r="B32" s="14" t="n">
        <v>0</v>
      </c>
      <c r="C32" s="14" t="n">
        <v>1</v>
      </c>
      <c r="D32" s="14" t="n">
        <v>1</v>
      </c>
      <c r="E32" s="15">
        <f>INDEX(B32:D32,$B$11)</f>
        <v/>
      </c>
      <c r="F32" s="2" t="inlineStr">
        <is>
          <t>人民元建て ±5%</t>
        </is>
      </c>
    </row>
    <row r="33">
      <c r="A33" s="16" t="inlineStr">
        <is>
          <t>1本あたり原価 合計</t>
        </is>
      </c>
      <c r="B33" s="17">
        <f>SUM(B27:B32)</f>
        <v/>
      </c>
      <c r="C33" s="17">
        <f>SUM(C27:C32)</f>
        <v/>
      </c>
      <c r="D33" s="17">
        <f>SUM(D27:D32)</f>
        <v/>
      </c>
      <c r="E33" s="17">
        <f>SUM(E27:E32)</f>
        <v/>
      </c>
    </row>
    <row r="34">
      <c r="A34" s="16" t="inlineStr">
        <is>
          <t>粗利率</t>
        </is>
      </c>
      <c r="E34" s="18">
        <f>1-E33/$B$21</f>
        <v/>
      </c>
      <c r="F34" s="2">
        <f> 1 − 1本原価 ÷ 平均単価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  <col width="52" customWidth="1" min="7" max="7"/>
  </cols>
  <sheetData>
    <row r="1">
      <c r="A1" s="1" t="inlineStr">
        <is>
          <t>A. 初期費用</t>
        </is>
      </c>
    </row>
    <row r="2">
      <c r="A2" s="2" t="inlineStr">
        <is>
          <t>単位: 万円 / 発生月は 1=2026年10月 … 12=2027年9月</t>
        </is>
      </c>
    </row>
    <row r="4">
      <c r="A4" s="13" t="inlineStr">
        <is>
          <t>項目</t>
        </is>
      </c>
      <c r="B4" s="13" t="inlineStr">
        <is>
          <t>発生月</t>
        </is>
      </c>
      <c r="C4" s="13" t="inlineStr">
        <is>
          <t>楽観</t>
        </is>
      </c>
      <c r="D4" s="13" t="inlineStr">
        <is>
          <t>標準</t>
        </is>
      </c>
      <c r="E4" s="13" t="inlineStr">
        <is>
          <t>実行可能版</t>
        </is>
      </c>
      <c r="F4" s="13" t="inlineStr">
        <is>
          <t>採用額</t>
        </is>
      </c>
      <c r="G4" s="13" t="inlineStr">
        <is>
          <t>備考</t>
        </is>
      </c>
    </row>
    <row r="5">
      <c r="A5" s="5" t="inlineStr">
        <is>
          <t>法人設立</t>
        </is>
      </c>
      <c r="B5" s="4" t="n">
        <v>1</v>
      </c>
      <c r="C5" s="10" t="n">
        <v>21</v>
      </c>
      <c r="D5" s="10" t="n">
        <v>31</v>
      </c>
      <c r="E5" s="10" t="n">
        <v>31</v>
      </c>
      <c r="F5" s="19">
        <f>INDEX(C5:E5,'前提'!$B$11)</f>
        <v/>
      </c>
      <c r="G5" s="2" t="inlineStr">
        <is>
          <t>定款認証5 + 登録免許税15 + 印鑑2 + 司法書士8</t>
        </is>
      </c>
    </row>
    <row r="6">
      <c r="A6" s="5" t="inlineStr">
        <is>
          <t>事務所・什器</t>
        </is>
      </c>
      <c r="B6" s="4" t="n">
        <v>1</v>
      </c>
      <c r="C6" s="10" t="n">
        <v>10</v>
      </c>
      <c r="D6" s="10" t="n">
        <v>20</v>
      </c>
      <c r="E6" s="10" t="n">
        <v>20</v>
      </c>
      <c r="F6" s="19">
        <f>INDEX(C6:E6,'前提'!$B$11)</f>
        <v/>
      </c>
      <c r="G6" s="2" t="inlineStr">
        <is>
          <t>レンタルオフィス初期 + 什器</t>
        </is>
      </c>
    </row>
    <row r="7">
      <c r="A7" s="5" t="inlineStr">
        <is>
          <t>渡航・クリエイター選定</t>
        </is>
      </c>
      <c r="B7" s="4" t="n">
        <v>1</v>
      </c>
      <c r="C7" s="10" t="n">
        <v>54</v>
      </c>
      <c r="D7" s="10" t="n">
        <v>80</v>
      </c>
      <c r="E7" s="10" t="n">
        <v>80</v>
      </c>
      <c r="F7" s="19">
        <f>INDEX(C7:E7,'前提'!$B$11)</f>
        <v/>
      </c>
      <c r="G7" s="2" t="inlineStr">
        <is>
          <t>有償テスト課題 + 渡航2回</t>
        </is>
      </c>
    </row>
    <row r="8">
      <c r="A8" s="5" t="inlineStr">
        <is>
          <t>機材</t>
        </is>
      </c>
      <c r="B8" s="4" t="n">
        <v>2</v>
      </c>
      <c r="C8" s="10" t="n">
        <v>55</v>
      </c>
      <c r="D8" s="10" t="n">
        <v>90</v>
      </c>
      <c r="E8" s="10" t="n">
        <v>90</v>
      </c>
      <c r="F8" s="19">
        <f>INDEX(C8:E8,'前提'!$B$11)</f>
        <v/>
      </c>
      <c r="G8" s="2" t="inlineStr">
        <is>
          <t>PC2台 + モニター + ストレージ + 予備</t>
        </is>
      </c>
    </row>
    <row r="9">
      <c r="A9" s="5" t="inlineStr">
        <is>
          <t>サンプル制作</t>
        </is>
      </c>
      <c r="B9" s="4" t="n">
        <v>2</v>
      </c>
      <c r="C9" s="10" t="n">
        <v>37</v>
      </c>
      <c r="D9" s="10" t="n">
        <v>90</v>
      </c>
      <c r="E9" s="10" t="n">
        <v>70</v>
      </c>
      <c r="F9" s="19">
        <f>INDEX(C9:E9,'前提'!$B$11)</f>
        <v/>
      </c>
      <c r="G9" s="2" t="inlineStr">
        <is>
          <t>Aランクで作る。営業の武器なので削らない</t>
        </is>
      </c>
    </row>
    <row r="10">
      <c r="A10" s="5" t="inlineStr">
        <is>
          <t>ブランド・LP</t>
        </is>
      </c>
      <c r="B10" s="4" t="n">
        <v>2</v>
      </c>
      <c r="C10" s="10" t="n">
        <v>45</v>
      </c>
      <c r="D10" s="10" t="n">
        <v>115</v>
      </c>
      <c r="E10" s="10" t="n">
        <v>75</v>
      </c>
      <c r="F10" s="19">
        <f>INDEX(C10:E10,'前提'!$B$11)</f>
        <v/>
      </c>
      <c r="G10" s="2" t="inlineStr">
        <is>
          <t>LP + ロゴVI + 会社案内</t>
        </is>
      </c>
    </row>
    <row r="11">
      <c r="A11" s="5" t="inlineStr">
        <is>
          <t>採用</t>
        </is>
      </c>
      <c r="B11" s="4" t="n">
        <v>2</v>
      </c>
      <c r="C11" s="10" t="n">
        <v>100</v>
      </c>
      <c r="D11" s="10" t="n">
        <v>300</v>
      </c>
      <c r="E11" s="10" t="n">
        <v>150</v>
      </c>
      <c r="F11" s="19">
        <f>INDEX(C11:E11,'前提'!$B$11)</f>
        <v/>
      </c>
      <c r="G11" s="2" t="inlineStr">
        <is>
          <t>エージェントは年収の30〜35%</t>
        </is>
      </c>
    </row>
    <row r="12">
      <c r="A12" s="5" t="inlineStr">
        <is>
          <t>知的財産</t>
        </is>
      </c>
      <c r="B12" s="4" t="n">
        <v>3</v>
      </c>
      <c r="C12" s="10" t="n">
        <v>115</v>
      </c>
      <c r="D12" s="10" t="n">
        <v>190</v>
      </c>
      <c r="E12" s="10" t="n">
        <v>110</v>
      </c>
      <c r="F12" s="19">
        <f>INDEX(C12:E12,'前提'!$B$11)</f>
        <v/>
      </c>
      <c r="G12" s="2" t="inlineStr">
        <is>
          <t>弁理士相談 + 特許出願 + 商標</t>
        </is>
      </c>
    </row>
    <row r="13">
      <c r="A13" s="5" t="inlineStr">
        <is>
          <t>データ基盤</t>
        </is>
      </c>
      <c r="B13" s="4" t="n">
        <v>3</v>
      </c>
      <c r="C13" s="10" t="n">
        <v>40</v>
      </c>
      <c r="D13" s="10" t="n">
        <v>150</v>
      </c>
      <c r="E13" s="10" t="n">
        <v>50</v>
      </c>
      <c r="F13" s="19">
        <f>INDEX(C13:E13,'前提'!$B$11)</f>
        <v/>
      </c>
      <c r="G13" s="2" t="inlineStr">
        <is>
          <t>実行可能版は最小構成から段階的に</t>
        </is>
      </c>
    </row>
    <row r="14">
      <c r="A14" s="5" t="inlineStr">
        <is>
          <t>専門家(税理士・弁護士・社労士)</t>
        </is>
      </c>
      <c r="B14" s="4" t="n">
        <v>3</v>
      </c>
      <c r="C14" s="10" t="n">
        <v>30</v>
      </c>
      <c r="D14" s="10" t="n">
        <v>95</v>
      </c>
      <c r="E14" s="10" t="n">
        <v>95</v>
      </c>
      <c r="F14" s="19">
        <f>INDEX(C14:E14,'前提'!$B$11)</f>
        <v/>
      </c>
      <c r="G14" s="2" t="inlineStr">
        <is>
          <t>中国法の弁護士70万を含む。削らない</t>
        </is>
      </c>
    </row>
    <row r="15">
      <c r="A15" s="16" t="inlineStr">
        <is>
          <t>小計</t>
        </is>
      </c>
      <c r="C15" s="20">
        <f>SUM(C5:C14)</f>
        <v/>
      </c>
      <c r="D15" s="20">
        <f>SUM(D5:D14)</f>
        <v/>
      </c>
      <c r="E15" s="20">
        <f>SUM(E5:E14)</f>
        <v/>
      </c>
      <c r="F15" s="20">
        <f>SUM(F5:F14)</f>
        <v/>
      </c>
    </row>
    <row r="16">
      <c r="A16" s="16" t="inlineStr">
        <is>
          <t>予備費</t>
        </is>
      </c>
      <c r="B16" s="4" t="n">
        <v>3</v>
      </c>
      <c r="C16" s="19">
        <f>C15*'前提'!$B$23</f>
        <v/>
      </c>
      <c r="D16" s="19">
        <f>D15*'前提'!$B$23</f>
        <v/>
      </c>
      <c r="E16" s="19">
        <f>E15*'前提'!$B$23</f>
        <v/>
      </c>
      <c r="F16" s="19">
        <f>F15*'前提'!$B$23</f>
        <v/>
      </c>
      <c r="G16" s="2" t="inlineStr">
        <is>
          <t>初期費用の15%。これがないと必ず途中で足りなくなる</t>
        </is>
      </c>
    </row>
    <row r="17">
      <c r="A17" s="16" t="inlineStr">
        <is>
          <t>合計</t>
        </is>
      </c>
      <c r="C17" s="21">
        <f>C15+C16</f>
        <v/>
      </c>
      <c r="D17" s="21">
        <f>D15+D16</f>
        <v/>
      </c>
      <c r="E17" s="21">
        <f>E15+E16</f>
        <v/>
      </c>
      <c r="F17" s="21">
        <f>F15+F16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  <col width="52" customWidth="1" min="7" max="7"/>
  </cols>
  <sheetData>
    <row r="1">
      <c r="A1" s="1" t="inlineStr">
        <is>
          <t>B. 月次固定費</t>
        </is>
      </c>
    </row>
    <row r="2">
      <c r="A2" s="2" t="inlineStr">
        <is>
          <t>単位: 万円 / 開始月は 1=2026年10月。役員報酬・採用の開始月を変えると資金繰りが動きます</t>
        </is>
      </c>
    </row>
    <row r="4">
      <c r="A4" s="13" t="inlineStr">
        <is>
          <t>項目</t>
        </is>
      </c>
      <c r="B4" s="13" t="inlineStr">
        <is>
          <t>開始月</t>
        </is>
      </c>
      <c r="C4" s="13" t="inlineStr">
        <is>
          <t>楽観</t>
        </is>
      </c>
      <c r="D4" s="13" t="inlineStr">
        <is>
          <t>標準</t>
        </is>
      </c>
      <c r="E4" s="13" t="inlineStr">
        <is>
          <t>実行可能版</t>
        </is>
      </c>
      <c r="F4" s="13" t="inlineStr">
        <is>
          <t>採用額</t>
        </is>
      </c>
      <c r="G4" s="13" t="inlineStr">
        <is>
          <t>備考</t>
        </is>
      </c>
    </row>
    <row r="5">
      <c r="A5" s="5" t="inlineStr">
        <is>
          <t>役員報酬</t>
        </is>
      </c>
      <c r="B5" s="4" t="n">
        <v>3</v>
      </c>
      <c r="C5" s="10" t="n">
        <v>35</v>
      </c>
      <c r="D5" s="10" t="n">
        <v>50</v>
      </c>
      <c r="E5" s="10" t="n">
        <v>50</v>
      </c>
      <c r="F5" s="19">
        <f>INDEX(C5:E5,'前提'!$B$11)</f>
        <v/>
      </c>
      <c r="G5" s="2" t="inlineStr">
        <is>
          <t>定期同額給与。設立時に決めた額が1年固定</t>
        </is>
      </c>
    </row>
    <row r="6">
      <c r="A6" s="5" t="inlineStr">
        <is>
          <t>営業1名(給与+賞与+法定福利)</t>
        </is>
      </c>
      <c r="B6" s="4" t="n">
        <v>4</v>
      </c>
      <c r="C6" s="10" t="n">
        <v>48</v>
      </c>
      <c r="D6" s="10" t="n">
        <v>60</v>
      </c>
      <c r="E6" s="10" t="n">
        <v>60</v>
      </c>
      <c r="F6" s="19">
        <f>INDEX(C6:E6,'前提'!$B$11)</f>
        <v/>
      </c>
      <c r="G6" s="2" t="inlineStr">
        <is>
          <t>年収550〜650万を月割</t>
        </is>
      </c>
    </row>
    <row r="7">
      <c r="A7" s="5" t="inlineStr">
        <is>
          <t>制作ディレクター1名(同上)</t>
        </is>
      </c>
      <c r="B7" s="4" t="n">
        <v>7</v>
      </c>
      <c r="C7" s="10" t="n">
        <v>48</v>
      </c>
      <c r="D7" s="10" t="n">
        <v>60</v>
      </c>
      <c r="E7" s="10" t="n">
        <v>60</v>
      </c>
      <c r="F7" s="19">
        <f>INDEX(C7:E7,'前提'!$B$11)</f>
        <v/>
      </c>
      <c r="G7" s="2" t="inlineStr">
        <is>
          <t>実行可能版は2027年4月採用。それまで代表が兼務</t>
        </is>
      </c>
    </row>
    <row r="8">
      <c r="A8" s="5" t="inlineStr">
        <is>
          <t>レンタルオフィス</t>
        </is>
      </c>
      <c r="B8" s="4" t="n">
        <v>1</v>
      </c>
      <c r="C8" s="10" t="n">
        <v>8</v>
      </c>
      <c r="D8" s="10" t="n">
        <v>15</v>
      </c>
      <c r="E8" s="10" t="n">
        <v>12</v>
      </c>
      <c r="F8" s="19">
        <f>INDEX(C8:E8,'前提'!$B$11)</f>
        <v/>
      </c>
      <c r="G8" s="2" t="inlineStr"/>
    </row>
    <row r="9">
      <c r="A9" s="5" t="inlineStr">
        <is>
          <t>通信・水道光熱</t>
        </is>
      </c>
      <c r="B9" s="4" t="n">
        <v>1</v>
      </c>
      <c r="C9" s="10" t="n">
        <v>2</v>
      </c>
      <c r="D9" s="10" t="n">
        <v>3</v>
      </c>
      <c r="E9" s="10" t="n">
        <v>3</v>
      </c>
      <c r="F9" s="19">
        <f>INDEX(C9:E9,'前提'!$B$11)</f>
        <v/>
      </c>
      <c r="G9" s="2" t="inlineStr"/>
    </row>
    <row r="10">
      <c r="A10" s="5" t="inlineStr">
        <is>
          <t>会計・税務顧問</t>
        </is>
      </c>
      <c r="B10" s="4" t="n">
        <v>1</v>
      </c>
      <c r="C10" s="10" t="n">
        <v>4</v>
      </c>
      <c r="D10" s="10" t="n">
        <v>6</v>
      </c>
      <c r="E10" s="10" t="n">
        <v>6</v>
      </c>
      <c r="F10" s="19">
        <f>INDEX(C10:E10,'前提'!$B$11)</f>
        <v/>
      </c>
      <c r="G10" s="2" t="inlineStr">
        <is>
          <t>国際税務が絡むと上がる</t>
        </is>
      </c>
    </row>
    <row r="11">
      <c r="A11" s="5" t="inlineStr">
        <is>
          <t>給与計算・労務</t>
        </is>
      </c>
      <c r="B11" s="4" t="n">
        <v>1</v>
      </c>
      <c r="C11" s="10" t="n">
        <v>1</v>
      </c>
      <c r="D11" s="10" t="n">
        <v>2</v>
      </c>
      <c r="E11" s="10" t="n">
        <v>2</v>
      </c>
      <c r="F11" s="19">
        <f>INDEX(C11:E11,'前提'!$B$11)</f>
        <v/>
      </c>
      <c r="G11" s="2" t="inlineStr"/>
    </row>
    <row r="12">
      <c r="A12" s="5" t="inlineStr">
        <is>
          <t>クラウド・SaaS</t>
        </is>
      </c>
      <c r="B12" s="4" t="n">
        <v>1</v>
      </c>
      <c r="C12" s="10" t="n">
        <v>3</v>
      </c>
      <c r="D12" s="10" t="n">
        <v>5</v>
      </c>
      <c r="E12" s="10" t="n">
        <v>5</v>
      </c>
      <c r="F12" s="19">
        <f>INDEX(C12:E12,'前提'!$B$11)</f>
        <v/>
      </c>
      <c r="G12" s="2" t="inlineStr"/>
    </row>
    <row r="13">
      <c r="A13" s="5" t="inlineStr">
        <is>
          <t>AI API 利用料</t>
        </is>
      </c>
      <c r="B13" s="4" t="n">
        <v>1</v>
      </c>
      <c r="C13" s="10" t="n">
        <v>3</v>
      </c>
      <c r="D13" s="10" t="n">
        <v>5</v>
      </c>
      <c r="E13" s="10" t="n">
        <v>5</v>
      </c>
      <c r="F13" s="19">
        <f>INDEX(C13:E13,'前提'!$B$11)</f>
        <v/>
      </c>
      <c r="G13" s="2" t="inlineStr">
        <is>
          <t>案件数に応じて増える</t>
        </is>
      </c>
    </row>
    <row r="14">
      <c r="A14" s="5" t="inlineStr">
        <is>
          <t>ストレージ・データ転送</t>
        </is>
      </c>
      <c r="B14" s="4" t="n">
        <v>1</v>
      </c>
      <c r="C14" s="10" t="n">
        <v>2</v>
      </c>
      <c r="D14" s="10" t="n">
        <v>4</v>
      </c>
      <c r="E14" s="10" t="n">
        <v>4</v>
      </c>
      <c r="F14" s="19">
        <f>INDEX(C14:E14,'前提'!$B$11)</f>
        <v/>
      </c>
      <c r="G14" s="2" t="inlineStr">
        <is>
          <t>映像は重い。想定の2〜3倍になりやすい</t>
        </is>
      </c>
    </row>
    <row r="15">
      <c r="A15" s="5" t="inlineStr">
        <is>
          <t>営業活動費</t>
        </is>
      </c>
      <c r="B15" s="4" t="n">
        <v>1</v>
      </c>
      <c r="C15" s="10" t="n">
        <v>10</v>
      </c>
      <c r="D15" s="10" t="n">
        <v>15</v>
      </c>
      <c r="E15" s="10" t="n">
        <v>15</v>
      </c>
      <c r="F15" s="19">
        <f>INDEX(C15:E15,'前提'!$B$11)</f>
        <v/>
      </c>
      <c r="G15" s="2" t="inlineStr"/>
    </row>
    <row r="16">
      <c r="A16" s="5" t="inlineStr">
        <is>
          <t>送金手数料</t>
        </is>
      </c>
      <c r="B16" s="4" t="n">
        <v>1</v>
      </c>
      <c r="C16" s="10" t="n">
        <v>1</v>
      </c>
      <c r="D16" s="10" t="n">
        <v>2</v>
      </c>
      <c r="E16" s="10" t="n">
        <v>2</v>
      </c>
      <c r="F16" s="19">
        <f>INDEX(C16:E16,'前提'!$B$11)</f>
        <v/>
      </c>
      <c r="G16" s="2" t="inlineStr">
        <is>
          <t>月2回の締めで一括処理する前提</t>
        </is>
      </c>
    </row>
    <row r="17">
      <c r="A17" s="5" t="inlineStr">
        <is>
          <t>損害賠償責任保険</t>
        </is>
      </c>
      <c r="B17" s="4" t="n">
        <v>1</v>
      </c>
      <c r="C17" s="10" t="n">
        <v>1</v>
      </c>
      <c r="D17" s="10" t="n">
        <v>2</v>
      </c>
      <c r="E17" s="10" t="n">
        <v>2</v>
      </c>
      <c r="F17" s="19">
        <f>INDEX(C17:E17,'前提'!$B$11)</f>
        <v/>
      </c>
      <c r="G17" s="2" t="inlineStr"/>
    </row>
    <row r="18">
      <c r="A18" s="16" t="inlineStr">
        <is>
          <t>フル体制での月次固定費</t>
        </is>
      </c>
      <c r="C18" s="21">
        <f>SUM(C5:C17)</f>
        <v/>
      </c>
      <c r="D18" s="21">
        <f>SUM(D5:D17)</f>
        <v/>
      </c>
      <c r="E18" s="21">
        <f>SUM(E5:E17)</f>
        <v/>
      </c>
      <c r="F18" s="21">
        <f>SUM(F5:F17)</f>
        <v/>
      </c>
    </row>
    <row r="20">
      <c r="A20" s="16" t="inlineStr">
        <is>
          <t>損益分岐 月商</t>
        </is>
      </c>
      <c r="F20" s="22">
        <f>F18/'前提'!$E$34</f>
        <v/>
      </c>
      <c r="G20" s="2">
        <f> フル体制の固定費 ÷ 粗利率</f>
        <v/>
      </c>
    </row>
    <row r="21">
      <c r="A21" s="16" t="inlineStr">
        <is>
          <t>損益分岐 月間本数</t>
        </is>
      </c>
      <c r="F21" s="23">
        <f>F20/'前提'!$B$21</f>
        <v/>
      </c>
      <c r="G21" s="2">
        <f> 損益分岐月商 ÷ 平均単価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40" customWidth="1" min="15" max="15"/>
  </cols>
  <sheetData>
    <row r="1">
      <c r="A1" s="1" t="inlineStr">
        <is>
          <t>C. 月次資金繰り(1年目)</t>
        </is>
      </c>
    </row>
    <row r="2">
      <c r="A2" s="2" t="inlineStr">
        <is>
          <t>単位: 万円 / 受注本数(6行目)を書き換えると全体が動きます</t>
        </is>
      </c>
    </row>
    <row r="4">
      <c r="A4" s="16" t="inlineStr">
        <is>
          <t>月</t>
        </is>
      </c>
      <c r="B4" s="24" t="n">
        <v>1</v>
      </c>
      <c r="C4" s="24" t="n">
        <v>2</v>
      </c>
      <c r="D4" s="24" t="n">
        <v>3</v>
      </c>
      <c r="E4" s="24" t="n">
        <v>4</v>
      </c>
      <c r="F4" s="24" t="n">
        <v>5</v>
      </c>
      <c r="G4" s="24" t="n">
        <v>6</v>
      </c>
      <c r="H4" s="24" t="n">
        <v>7</v>
      </c>
      <c r="I4" s="24" t="n">
        <v>8</v>
      </c>
      <c r="J4" s="24" t="n">
        <v>9</v>
      </c>
      <c r="K4" s="24" t="n">
        <v>10</v>
      </c>
      <c r="L4" s="24" t="n">
        <v>11</v>
      </c>
      <c r="M4" s="24" t="n">
        <v>12</v>
      </c>
    </row>
    <row r="5">
      <c r="A5" s="16" t="inlineStr">
        <is>
          <t>年月</t>
        </is>
      </c>
      <c r="B5" s="24" t="inlineStr">
        <is>
          <t>2026/10</t>
        </is>
      </c>
      <c r="C5" s="24" t="inlineStr">
        <is>
          <t>2026/11</t>
        </is>
      </c>
      <c r="D5" s="24" t="inlineStr">
        <is>
          <t>2026/12</t>
        </is>
      </c>
      <c r="E5" s="24" t="inlineStr">
        <is>
          <t>2027/1</t>
        </is>
      </c>
      <c r="F5" s="24" t="inlineStr">
        <is>
          <t>2027/2</t>
        </is>
      </c>
      <c r="G5" s="24" t="inlineStr">
        <is>
          <t>2027/3</t>
        </is>
      </c>
      <c r="H5" s="24" t="inlineStr">
        <is>
          <t>2027/4</t>
        </is>
      </c>
      <c r="I5" s="24" t="inlineStr">
        <is>
          <t>2027/5</t>
        </is>
      </c>
      <c r="J5" s="24" t="inlineStr">
        <is>
          <t>2027/6</t>
        </is>
      </c>
      <c r="K5" s="24" t="inlineStr">
        <is>
          <t>2027/7</t>
        </is>
      </c>
      <c r="L5" s="24" t="inlineStr">
        <is>
          <t>2027/8</t>
        </is>
      </c>
      <c r="M5" s="24" t="inlineStr">
        <is>
          <t>2027/9</t>
        </is>
      </c>
    </row>
    <row r="6">
      <c r="A6" s="16" t="inlineStr">
        <is>
          <t>受注・納品本数</t>
        </is>
      </c>
      <c r="B6" s="25" t="n">
        <v>0</v>
      </c>
      <c r="C6" s="25" t="n">
        <v>0</v>
      </c>
      <c r="D6" s="25" t="n">
        <v>0</v>
      </c>
      <c r="E6" s="25" t="n">
        <v>1</v>
      </c>
      <c r="F6" s="25" t="n">
        <v>2</v>
      </c>
      <c r="G6" s="25" t="n">
        <v>2</v>
      </c>
      <c r="H6" s="25" t="n">
        <v>3</v>
      </c>
      <c r="I6" s="25" t="n">
        <v>3</v>
      </c>
      <c r="J6" s="25" t="n">
        <v>4</v>
      </c>
      <c r="K6" s="25" t="n">
        <v>4</v>
      </c>
      <c r="L6" s="25" t="n">
        <v>5</v>
      </c>
      <c r="M6" s="25" t="n">
        <v>5</v>
      </c>
      <c r="O6" s="2" t="inlineStr">
        <is>
          <t>← 青字・黄色。ここが最上位のドライバー</t>
        </is>
      </c>
    </row>
    <row r="7">
      <c r="A7" s="5" t="inlineStr">
        <is>
          <t>売上高</t>
        </is>
      </c>
      <c r="B7" s="26">
        <f>B6*'前提'!$B$21</f>
        <v/>
      </c>
      <c r="C7" s="26">
        <f>C6*'前提'!$B$21</f>
        <v/>
      </c>
      <c r="D7" s="26">
        <f>D6*'前提'!$B$21</f>
        <v/>
      </c>
      <c r="E7" s="26">
        <f>E6*'前提'!$B$21</f>
        <v/>
      </c>
      <c r="F7" s="26">
        <f>F6*'前提'!$B$21</f>
        <v/>
      </c>
      <c r="G7" s="26">
        <f>G6*'前提'!$B$21</f>
        <v/>
      </c>
      <c r="H7" s="26">
        <f>H6*'前提'!$B$21</f>
        <v/>
      </c>
      <c r="I7" s="26">
        <f>I6*'前提'!$B$21</f>
        <v/>
      </c>
      <c r="J7" s="26">
        <f>J6*'前提'!$B$21</f>
        <v/>
      </c>
      <c r="K7" s="26">
        <f>K6*'前提'!$B$21</f>
        <v/>
      </c>
      <c r="L7" s="26">
        <f>L6*'前提'!$B$21</f>
        <v/>
      </c>
      <c r="M7" s="26">
        <f>M6*'前提'!$B$21</f>
        <v/>
      </c>
    </row>
    <row r="9">
      <c r="A9" s="5" t="inlineStr">
        <is>
          <t>入金(売上・翌月末)</t>
        </is>
      </c>
      <c r="B9" s="26" t="inlineStr">
        <is>
          <t>0</t>
        </is>
      </c>
      <c r="C9" s="26">
        <f>B7</f>
        <v/>
      </c>
      <c r="D9" s="26">
        <f>C7</f>
        <v/>
      </c>
      <c r="E9" s="26">
        <f>D7</f>
        <v/>
      </c>
      <c r="F9" s="26">
        <f>E7</f>
        <v/>
      </c>
      <c r="G9" s="26">
        <f>F7</f>
        <v/>
      </c>
      <c r="H9" s="26">
        <f>G7</f>
        <v/>
      </c>
      <c r="I9" s="26">
        <f>H7</f>
        <v/>
      </c>
      <c r="J9" s="26">
        <f>I7</f>
        <v/>
      </c>
      <c r="K9" s="26">
        <f>J7</f>
        <v/>
      </c>
      <c r="L9" s="26">
        <f>K7</f>
        <v/>
      </c>
      <c r="M9" s="26">
        <f>L7</f>
        <v/>
      </c>
    </row>
    <row r="10">
      <c r="A10" s="5" t="inlineStr">
        <is>
          <t>資本金の払込</t>
        </is>
      </c>
      <c r="B10" s="19">
        <f>'前提'!$B$14</f>
        <v/>
      </c>
      <c r="C10" s="19" t="inlineStr">
        <is>
          <t>0</t>
        </is>
      </c>
      <c r="D10" s="19" t="inlineStr">
        <is>
          <t>0</t>
        </is>
      </c>
      <c r="E10" s="19" t="inlineStr">
        <is>
          <t>0</t>
        </is>
      </c>
      <c r="F10" s="19" t="inlineStr">
        <is>
          <t>0</t>
        </is>
      </c>
      <c r="G10" s="19" t="inlineStr">
        <is>
          <t>0</t>
        </is>
      </c>
      <c r="H10" s="19" t="inlineStr">
        <is>
          <t>0</t>
        </is>
      </c>
      <c r="I10" s="19" t="inlineStr">
        <is>
          <t>0</t>
        </is>
      </c>
      <c r="J10" s="19" t="inlineStr">
        <is>
          <t>0</t>
        </is>
      </c>
      <c r="K10" s="19" t="inlineStr">
        <is>
          <t>0</t>
        </is>
      </c>
      <c r="L10" s="19" t="inlineStr">
        <is>
          <t>0</t>
        </is>
      </c>
      <c r="M10" s="19" t="inlineStr">
        <is>
          <t>0</t>
        </is>
      </c>
    </row>
    <row r="11">
      <c r="A11" s="5" t="inlineStr">
        <is>
          <t>融資の着金</t>
        </is>
      </c>
      <c r="B11" s="19">
        <f>IF(B4='前提'!$B$16,'前提'!$B$15,0)</f>
        <v/>
      </c>
      <c r="C11" s="19">
        <f>IF(C4='前提'!$B$16,'前提'!$B$15,0)</f>
        <v/>
      </c>
      <c r="D11" s="19">
        <f>IF(D4='前提'!$B$16,'前提'!$B$15,0)</f>
        <v/>
      </c>
      <c r="E11" s="19">
        <f>IF(E4='前提'!$B$16,'前提'!$B$15,0)</f>
        <v/>
      </c>
      <c r="F11" s="19">
        <f>IF(F4='前提'!$B$16,'前提'!$B$15,0)</f>
        <v/>
      </c>
      <c r="G11" s="19">
        <f>IF(G4='前提'!$B$16,'前提'!$B$15,0)</f>
        <v/>
      </c>
      <c r="H11" s="19">
        <f>IF(H4='前提'!$B$16,'前提'!$B$15,0)</f>
        <v/>
      </c>
      <c r="I11" s="19">
        <f>IF(I4='前提'!$B$16,'前提'!$B$15,0)</f>
        <v/>
      </c>
      <c r="J11" s="19">
        <f>IF(J4='前提'!$B$16,'前提'!$B$15,0)</f>
        <v/>
      </c>
      <c r="K11" s="19">
        <f>IF(K4='前提'!$B$16,'前提'!$B$15,0)</f>
        <v/>
      </c>
      <c r="L11" s="19">
        <f>IF(L4='前提'!$B$16,'前提'!$B$15,0)</f>
        <v/>
      </c>
      <c r="M11" s="19">
        <f>IF(M4='前提'!$B$16,'前提'!$B$15,0)</f>
        <v/>
      </c>
    </row>
    <row r="12">
      <c r="A12" s="16" t="inlineStr">
        <is>
          <t>入金 合計</t>
        </is>
      </c>
      <c r="B12" s="20">
        <f>SUM(B9:B11)</f>
        <v/>
      </c>
      <c r="C12" s="20">
        <f>SUM(C9:C11)</f>
        <v/>
      </c>
      <c r="D12" s="20">
        <f>SUM(D9:D11)</f>
        <v/>
      </c>
      <c r="E12" s="20">
        <f>SUM(E9:E11)</f>
        <v/>
      </c>
      <c r="F12" s="20">
        <f>SUM(F9:F11)</f>
        <v/>
      </c>
      <c r="G12" s="20">
        <f>SUM(G9:G11)</f>
        <v/>
      </c>
      <c r="H12" s="20">
        <f>SUM(H9:H11)</f>
        <v/>
      </c>
      <c r="I12" s="20">
        <f>SUM(I9:I11)</f>
        <v/>
      </c>
      <c r="J12" s="20">
        <f>SUM(J9:J11)</f>
        <v/>
      </c>
      <c r="K12" s="20">
        <f>SUM(K9:K11)</f>
        <v/>
      </c>
      <c r="L12" s="20">
        <f>SUM(L9:L11)</f>
        <v/>
      </c>
      <c r="M12" s="20">
        <f>SUM(M9:M11)</f>
        <v/>
      </c>
    </row>
    <row r="14">
      <c r="A14" s="5" t="inlineStr">
        <is>
          <t>初期費用</t>
        </is>
      </c>
      <c r="B14" s="19">
        <f>SUMIF('初期費用'!$B$5:$B$17,B4,'初期費用'!$F$5:$F$17)</f>
        <v/>
      </c>
      <c r="C14" s="19">
        <f>SUMIF('初期費用'!$B$5:$B$17,C4,'初期費用'!$F$5:$F$17)</f>
        <v/>
      </c>
      <c r="D14" s="19">
        <f>SUMIF('初期費用'!$B$5:$B$17,D4,'初期費用'!$F$5:$F$17)</f>
        <v/>
      </c>
      <c r="E14" s="19">
        <f>SUMIF('初期費用'!$B$5:$B$17,E4,'初期費用'!$F$5:$F$17)</f>
        <v/>
      </c>
      <c r="F14" s="19">
        <f>SUMIF('初期費用'!$B$5:$B$17,F4,'初期費用'!$F$5:$F$17)</f>
        <v/>
      </c>
      <c r="G14" s="19">
        <f>SUMIF('初期費用'!$B$5:$B$17,G4,'初期費用'!$F$5:$F$17)</f>
        <v/>
      </c>
      <c r="H14" s="19">
        <f>SUMIF('初期費用'!$B$5:$B$17,H4,'初期費用'!$F$5:$F$17)</f>
        <v/>
      </c>
      <c r="I14" s="19">
        <f>SUMIF('初期費用'!$B$5:$B$17,I4,'初期費用'!$F$5:$F$17)</f>
        <v/>
      </c>
      <c r="J14" s="19">
        <f>SUMIF('初期費用'!$B$5:$B$17,J4,'初期費用'!$F$5:$F$17)</f>
        <v/>
      </c>
      <c r="K14" s="19">
        <f>SUMIF('初期費用'!$B$5:$B$17,K4,'初期費用'!$F$5:$F$17)</f>
        <v/>
      </c>
      <c r="L14" s="19">
        <f>SUMIF('初期費用'!$B$5:$B$17,L4,'初期費用'!$F$5:$F$17)</f>
        <v/>
      </c>
      <c r="M14" s="19">
        <f>SUMIF('初期費用'!$B$5:$B$17,M4,'初期費用'!$F$5:$F$17)</f>
        <v/>
      </c>
    </row>
    <row r="15">
      <c r="A15" s="5" t="inlineStr">
        <is>
          <t>月次固定費</t>
        </is>
      </c>
      <c r="B15" s="19">
        <f>SUMIF('月次固定費'!$B$5:$B$17,"&lt;="&amp;B4,'月次固定費'!$F$5:$F$17)</f>
        <v/>
      </c>
      <c r="C15" s="19">
        <f>SUMIF('月次固定費'!$B$5:$B$17,"&lt;="&amp;C4,'月次固定費'!$F$5:$F$17)</f>
        <v/>
      </c>
      <c r="D15" s="19">
        <f>SUMIF('月次固定費'!$B$5:$B$17,"&lt;="&amp;D4,'月次固定費'!$F$5:$F$17)</f>
        <v/>
      </c>
      <c r="E15" s="19">
        <f>SUMIF('月次固定費'!$B$5:$B$17,"&lt;="&amp;E4,'月次固定費'!$F$5:$F$17)</f>
        <v/>
      </c>
      <c r="F15" s="19">
        <f>SUMIF('月次固定費'!$B$5:$B$17,"&lt;="&amp;F4,'月次固定費'!$F$5:$F$17)</f>
        <v/>
      </c>
      <c r="G15" s="19">
        <f>SUMIF('月次固定費'!$B$5:$B$17,"&lt;="&amp;G4,'月次固定費'!$F$5:$F$17)</f>
        <v/>
      </c>
      <c r="H15" s="19">
        <f>SUMIF('月次固定費'!$B$5:$B$17,"&lt;="&amp;H4,'月次固定費'!$F$5:$F$17)</f>
        <v/>
      </c>
      <c r="I15" s="19">
        <f>SUMIF('月次固定費'!$B$5:$B$17,"&lt;="&amp;I4,'月次固定費'!$F$5:$F$17)</f>
        <v/>
      </c>
      <c r="J15" s="19">
        <f>SUMIF('月次固定費'!$B$5:$B$17,"&lt;="&amp;J4,'月次固定費'!$F$5:$F$17)</f>
        <v/>
      </c>
      <c r="K15" s="19">
        <f>SUMIF('月次固定費'!$B$5:$B$17,"&lt;="&amp;K4,'月次固定費'!$F$5:$F$17)</f>
        <v/>
      </c>
      <c r="L15" s="19">
        <f>SUMIF('月次固定費'!$B$5:$B$17,"&lt;="&amp;L4,'月次固定費'!$F$5:$F$17)</f>
        <v/>
      </c>
      <c r="M15" s="19">
        <f>SUMIF('月次固定費'!$B$5:$B$17,"&lt;="&amp;M4,'月次固定費'!$F$5:$F$17)</f>
        <v/>
      </c>
    </row>
    <row r="16">
      <c r="A16" s="5" t="inlineStr">
        <is>
          <t>変動費(制作原価)</t>
        </is>
      </c>
      <c r="B16" s="19">
        <f>B6*'前提'!$E$33</f>
        <v/>
      </c>
      <c r="C16" s="19">
        <f>C6*'前提'!$E$33</f>
        <v/>
      </c>
      <c r="D16" s="19">
        <f>D6*'前提'!$E$33</f>
        <v/>
      </c>
      <c r="E16" s="19">
        <f>E6*'前提'!$E$33</f>
        <v/>
      </c>
      <c r="F16" s="19">
        <f>F6*'前提'!$E$33</f>
        <v/>
      </c>
      <c r="G16" s="19">
        <f>G6*'前提'!$E$33</f>
        <v/>
      </c>
      <c r="H16" s="19">
        <f>H6*'前提'!$E$33</f>
        <v/>
      </c>
      <c r="I16" s="19">
        <f>I6*'前提'!$E$33</f>
        <v/>
      </c>
      <c r="J16" s="19">
        <f>J6*'前提'!$E$33</f>
        <v/>
      </c>
      <c r="K16" s="19">
        <f>K6*'前提'!$E$33</f>
        <v/>
      </c>
      <c r="L16" s="19">
        <f>L6*'前提'!$E$33</f>
        <v/>
      </c>
      <c r="M16" s="19">
        <f>M6*'前提'!$E$33</f>
        <v/>
      </c>
    </row>
    <row r="17">
      <c r="A17" s="5" t="inlineStr">
        <is>
          <t>支払利息</t>
        </is>
      </c>
      <c r="B17" s="19">
        <f>IF(B4&gt;='前提'!$B$16,'前提'!$B$15*'前提'!$B$17/12,0)</f>
        <v/>
      </c>
      <c r="C17" s="19">
        <f>IF(C4&gt;='前提'!$B$16,'前提'!$B$15*'前提'!$B$17/12,0)</f>
        <v/>
      </c>
      <c r="D17" s="19">
        <f>IF(D4&gt;='前提'!$B$16,'前提'!$B$15*'前提'!$B$17/12,0)</f>
        <v/>
      </c>
      <c r="E17" s="19">
        <f>IF(E4&gt;='前提'!$B$16,'前提'!$B$15*'前提'!$B$17/12,0)</f>
        <v/>
      </c>
      <c r="F17" s="19">
        <f>IF(F4&gt;='前提'!$B$16,'前提'!$B$15*'前提'!$B$17/12,0)</f>
        <v/>
      </c>
      <c r="G17" s="19">
        <f>IF(G4&gt;='前提'!$B$16,'前提'!$B$15*'前提'!$B$17/12,0)</f>
        <v/>
      </c>
      <c r="H17" s="19">
        <f>IF(H4&gt;='前提'!$B$16,'前提'!$B$15*'前提'!$B$17/12,0)</f>
        <v/>
      </c>
      <c r="I17" s="19">
        <f>IF(I4&gt;='前提'!$B$16,'前提'!$B$15*'前提'!$B$17/12,0)</f>
        <v/>
      </c>
      <c r="J17" s="19">
        <f>IF(J4&gt;='前提'!$B$16,'前提'!$B$15*'前提'!$B$17/12,0)</f>
        <v/>
      </c>
      <c r="K17" s="19">
        <f>IF(K4&gt;='前提'!$B$16,'前提'!$B$15*'前提'!$B$17/12,0)</f>
        <v/>
      </c>
      <c r="L17" s="19">
        <f>IF(L4&gt;='前提'!$B$16,'前提'!$B$15*'前提'!$B$17/12,0)</f>
        <v/>
      </c>
      <c r="M17" s="19">
        <f>IF(M4&gt;='前提'!$B$16,'前提'!$B$15*'前提'!$B$17/12,0)</f>
        <v/>
      </c>
    </row>
    <row r="18">
      <c r="A18" s="16" t="inlineStr">
        <is>
          <t>支出 合計</t>
        </is>
      </c>
      <c r="B18" s="20">
        <f>SUM(B14:B17)</f>
        <v/>
      </c>
      <c r="C18" s="20">
        <f>SUM(C14:C17)</f>
        <v/>
      </c>
      <c r="D18" s="20">
        <f>SUM(D14:D17)</f>
        <v/>
      </c>
      <c r="E18" s="20">
        <f>SUM(E14:E17)</f>
        <v/>
      </c>
      <c r="F18" s="20">
        <f>SUM(F14:F17)</f>
        <v/>
      </c>
      <c r="G18" s="20">
        <f>SUM(G14:G17)</f>
        <v/>
      </c>
      <c r="H18" s="20">
        <f>SUM(H14:H17)</f>
        <v/>
      </c>
      <c r="I18" s="20">
        <f>SUM(I14:I17)</f>
        <v/>
      </c>
      <c r="J18" s="20">
        <f>SUM(J14:J17)</f>
        <v/>
      </c>
      <c r="K18" s="20">
        <f>SUM(K14:K17)</f>
        <v/>
      </c>
      <c r="L18" s="20">
        <f>SUM(L14:L17)</f>
        <v/>
      </c>
      <c r="M18" s="20">
        <f>SUM(M14:M17)</f>
        <v/>
      </c>
    </row>
    <row r="20">
      <c r="A20" s="16" t="inlineStr">
        <is>
          <t>月次収支</t>
        </is>
      </c>
      <c r="B20" s="20">
        <f>B12-B18</f>
        <v/>
      </c>
      <c r="C20" s="20">
        <f>C12-C18</f>
        <v/>
      </c>
      <c r="D20" s="20">
        <f>D12-D18</f>
        <v/>
      </c>
      <c r="E20" s="20">
        <f>E12-E18</f>
        <v/>
      </c>
      <c r="F20" s="20">
        <f>F12-F18</f>
        <v/>
      </c>
      <c r="G20" s="20">
        <f>G12-G18</f>
        <v/>
      </c>
      <c r="H20" s="20">
        <f>H12-H18</f>
        <v/>
      </c>
      <c r="I20" s="20">
        <f>I12-I18</f>
        <v/>
      </c>
      <c r="J20" s="20">
        <f>J12-J18</f>
        <v/>
      </c>
      <c r="K20" s="20">
        <f>K12-K18</f>
        <v/>
      </c>
      <c r="L20" s="20">
        <f>L12-L18</f>
        <v/>
      </c>
      <c r="M20" s="20">
        <f>M12-M18</f>
        <v/>
      </c>
    </row>
    <row r="21">
      <c r="A21" s="16" t="inlineStr">
        <is>
          <t>月末残高</t>
        </is>
      </c>
      <c r="B21" s="27">
        <f>B20</f>
        <v/>
      </c>
      <c r="C21" s="27">
        <f>B21+C20</f>
        <v/>
      </c>
      <c r="D21" s="27">
        <f>C21+D20</f>
        <v/>
      </c>
      <c r="E21" s="27">
        <f>D21+E20</f>
        <v/>
      </c>
      <c r="F21" s="27">
        <f>E21+F20</f>
        <v/>
      </c>
      <c r="G21" s="27">
        <f>F21+G20</f>
        <v/>
      </c>
      <c r="H21" s="27">
        <f>G21+H20</f>
        <v/>
      </c>
      <c r="I21" s="27">
        <f>H21+I20</f>
        <v/>
      </c>
      <c r="J21" s="27">
        <f>I21+J20</f>
        <v/>
      </c>
      <c r="K21" s="27">
        <f>J21+K20</f>
        <v/>
      </c>
      <c r="L21" s="27">
        <f>K21+L20</f>
        <v/>
      </c>
      <c r="M21" s="27">
        <f>L21+M20</f>
        <v/>
      </c>
    </row>
    <row r="23">
      <c r="A23" s="16" t="inlineStr">
        <is>
          <t>最低残高</t>
        </is>
      </c>
      <c r="B23" s="22">
        <f>MIN(B21:M21)</f>
        <v/>
      </c>
    </row>
    <row r="24">
      <c r="A24" s="16" t="inlineStr">
        <is>
          <t>最低残高の月</t>
        </is>
      </c>
      <c r="B24" s="16">
        <f>INDEX(B5:M5,MATCH(B23,B21:M21,0))</f>
        <v/>
      </c>
    </row>
    <row r="25">
      <c r="A25" s="16" t="inlineStr">
        <is>
          <t>1年目の受注 合計</t>
        </is>
      </c>
      <c r="B25" s="23">
        <f>SUM(B6:M6)</f>
        <v/>
      </c>
    </row>
    <row r="26">
      <c r="A26" s="16" t="inlineStr">
        <is>
          <t>1年目の売上 合計</t>
        </is>
      </c>
      <c r="B26" s="22">
        <f>SUM(B7:M7)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44" customWidth="1" min="3" max="3"/>
  </cols>
  <sheetData>
    <row r="1">
      <c r="A1" s="1" t="inlineStr">
        <is>
          <t>D. 必要調達額</t>
        </is>
      </c>
    </row>
    <row r="2">
      <c r="A2" s="2" t="inlineStr">
        <is>
          <t>単位: 万円</t>
        </is>
      </c>
    </row>
    <row r="4">
      <c r="A4" s="5" t="inlineStr">
        <is>
          <t>初期費用(予備費込み)</t>
        </is>
      </c>
      <c r="B4" s="19">
        <f>'初期費用'!F17</f>
        <v/>
      </c>
      <c r="C4" s="2" t="inlineStr">
        <is>
          <t>選択シナリオ</t>
        </is>
      </c>
    </row>
    <row r="5">
      <c r="A5" s="5" t="inlineStr">
        <is>
          <t>フル体制の月次固定費</t>
        </is>
      </c>
      <c r="B5" s="19">
        <f>'月次固定費'!F18</f>
        <v/>
      </c>
      <c r="C5" s="2" t="inlineStr"/>
    </row>
    <row r="6">
      <c r="A6" s="5" t="inlineStr">
        <is>
          <t>損益分岐 月間本数</t>
        </is>
      </c>
      <c r="B6" s="28">
        <f>'月次固定費'!F21</f>
        <v/>
      </c>
      <c r="C6" s="2" t="inlineStr"/>
    </row>
    <row r="8">
      <c r="A8" s="5" t="inlineStr">
        <is>
          <t>現在の調達額(資本金 + 融資)</t>
        </is>
      </c>
      <c r="B8" s="19">
        <f>'前提'!B14+'前提'!B15</f>
        <v/>
      </c>
      <c r="C8" s="2" t="inlineStr"/>
    </row>
    <row r="9">
      <c r="A9" s="5" t="inlineStr">
        <is>
          <t>1年目の最低残高</t>
        </is>
      </c>
      <c r="B9" s="19">
        <f>'資金繰り'!B23</f>
        <v/>
      </c>
      <c r="C9" s="2" t="inlineStr">
        <is>
          <t>マイナスなら資金が尽きる</t>
        </is>
      </c>
    </row>
    <row r="10">
      <c r="A10" s="5" t="inlineStr">
        <is>
          <t>最低残高の月</t>
        </is>
      </c>
      <c r="B10" s="6">
        <f>'資金繰り'!B24</f>
        <v/>
      </c>
      <c r="C10" s="2" t="inlineStr"/>
    </row>
    <row r="11">
      <c r="A11" s="5" t="inlineStr">
        <is>
          <t>1年目末の残高</t>
        </is>
      </c>
      <c r="B11" s="19">
        <f>'資金繰り'!M21</f>
        <v/>
      </c>
      <c r="C11" s="2" t="inlineStr"/>
    </row>
    <row r="13">
      <c r="A13" s="5" t="inlineStr">
        <is>
          <t>目標バッファ(固定費 × 月数)</t>
        </is>
      </c>
      <c r="B13" s="19">
        <f>'月次固定費'!F18*'前提'!B18</f>
        <v/>
      </c>
      <c r="C13" s="2" t="inlineStr">
        <is>
          <t>1年目末に残したい額</t>
        </is>
      </c>
    </row>
    <row r="14">
      <c r="A14" s="16" t="inlineStr">
        <is>
          <t>追加で必要な調達</t>
        </is>
      </c>
      <c r="B14" s="22">
        <f>MAX(0,'月次固定費'!F18*'前提'!B18-'資金繰り'!B23)</f>
        <v/>
      </c>
      <c r="C14" s="2" t="inlineStr">
        <is>
          <t>最低残高を目標バッファまで引き上げる額</t>
        </is>
      </c>
    </row>
    <row r="15">
      <c r="A15" s="16" t="inlineStr">
        <is>
          <t>推奨する調達総額</t>
        </is>
      </c>
      <c r="B15" s="29">
        <f>B9+B16</f>
        <v/>
      </c>
      <c r="C15" s="2" t="inlineStr">
        <is>
          <t>現在の調達 + 追加</t>
        </is>
      </c>
    </row>
    <row r="18">
      <c r="A18" s="3" t="inlineStr">
        <is>
          <t>読み方</t>
        </is>
      </c>
    </row>
    <row r="19">
      <c r="A19" s="2" t="inlineStr">
        <is>
          <t>1. 『前提』B11 でシナリオを切り替える(1=楽観 / 2=標準 / 3=実行可能版)</t>
        </is>
      </c>
    </row>
    <row r="20">
      <c r="A20" s="2" t="inlineStr">
        <is>
          <t>2. 『資金繰り』6行目の受注本数を、自分の見込みに書き換える</t>
        </is>
      </c>
    </row>
    <row r="21">
      <c r="A21" s="2" t="inlineStr">
        <is>
          <t>3. 『必要調達』の「推奨する調達総額」を見る。ここが今の調達額を超えていれば足りない</t>
        </is>
      </c>
    </row>
    <row r="22">
      <c r="A22" s="2" t="inlineStr">
        <is>
          <t>4. 最低残高がマイナスなら、その月に資金が尽きる。採用の開始月(『月次固定費』B列)を後ろに倒して調整する</t>
        </is>
      </c>
    </row>
    <row r="23">
      <c r="A23" s="2" t="inlineStr"/>
    </row>
    <row r="24">
      <c r="A24" s="2" t="inlineStr">
        <is>
          <t>※ このモデルは1年目のみ。2年目以降は『年次PL』シート。</t>
        </is>
      </c>
    </row>
    <row r="25">
      <c r="A25" s="2" t="inlineStr">
        <is>
          <t>※ 消費税(海外発注は仕入税額控除が取れない可能性)は未反映。税理士の確認後に原価へ上乗せしてください。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E. 5年の損益計画(保守版)</t>
        </is>
      </c>
    </row>
    <row r="2">
      <c r="A2" s="2" t="inlineStr">
        <is>
          <t>単位: 万円 / 青字を書き換えると営業利益まで再計算されます</t>
        </is>
      </c>
    </row>
    <row r="4" ht="30" customHeight="1">
      <c r="B4" s="30" t="inlineStr">
        <is>
          <t>1年目
2026/10-2027/9</t>
        </is>
      </c>
      <c r="C4" s="30" t="inlineStr">
        <is>
          <t>2年目</t>
        </is>
      </c>
      <c r="D4" s="30" t="inlineStr">
        <is>
          <t>3年目</t>
        </is>
      </c>
      <c r="E4" s="30" t="inlineStr">
        <is>
          <t>4年目</t>
        </is>
      </c>
      <c r="F4" s="30" t="inlineStr">
        <is>
          <t>5年目</t>
        </is>
      </c>
    </row>
    <row r="5">
      <c r="A5" s="5" t="inlineStr">
        <is>
          <t>受注本数</t>
        </is>
      </c>
      <c r="B5" s="14" t="n">
        <v>35</v>
      </c>
      <c r="C5" s="14" t="n">
        <v>180</v>
      </c>
      <c r="D5" s="14" t="n">
        <v>380</v>
      </c>
      <c r="E5" s="14" t="n">
        <v>650</v>
      </c>
      <c r="F5" s="14" t="n">
        <v>950</v>
      </c>
    </row>
    <row r="6">
      <c r="A6" s="5" t="inlineStr">
        <is>
          <t>平均単価</t>
        </is>
      </c>
      <c r="B6" s="10" t="n">
        <v>48</v>
      </c>
      <c r="C6" s="10" t="n">
        <v>52</v>
      </c>
      <c r="D6" s="10" t="n">
        <v>56</v>
      </c>
      <c r="E6" s="10" t="n">
        <v>58</v>
      </c>
      <c r="F6" s="10" t="n">
        <v>62</v>
      </c>
    </row>
    <row r="7">
      <c r="A7" s="5" t="inlineStr">
        <is>
          <t>1本あたり原価</t>
        </is>
      </c>
      <c r="B7" s="14" t="n">
        <v>22</v>
      </c>
      <c r="C7" s="14" t="n">
        <v>22</v>
      </c>
      <c r="D7" s="14" t="n">
        <v>21</v>
      </c>
      <c r="E7" s="14" t="n">
        <v>20</v>
      </c>
      <c r="F7" s="14" t="n">
        <v>19</v>
      </c>
    </row>
    <row r="8">
      <c r="A8" s="5" t="inlineStr">
        <is>
          <t>プロダクト売上(R4)</t>
        </is>
      </c>
      <c r="B8" s="10" t="n">
        <v>0</v>
      </c>
      <c r="C8" s="10" t="n">
        <v>0</v>
      </c>
      <c r="D8" s="10" t="n">
        <v>2000</v>
      </c>
      <c r="E8" s="10" t="n">
        <v>8000</v>
      </c>
      <c r="F8" s="10" t="n">
        <v>20000</v>
      </c>
    </row>
    <row r="9">
      <c r="A9" s="5" t="inlineStr">
        <is>
          <t>プロダクト原価率</t>
        </is>
      </c>
      <c r="B9" s="11" t="n">
        <v>0.2</v>
      </c>
      <c r="C9" s="11" t="n">
        <v>0.2</v>
      </c>
      <c r="D9" s="11" t="n">
        <v>0.2</v>
      </c>
      <c r="E9" s="11" t="n">
        <v>0.2</v>
      </c>
      <c r="F9" s="11" t="n">
        <v>0.2</v>
      </c>
    </row>
    <row r="10">
      <c r="A10" s="5" t="inlineStr">
        <is>
          <t>日本側の人員(期末)</t>
        </is>
      </c>
      <c r="B10" s="14" t="n">
        <v>3</v>
      </c>
      <c r="C10" s="14" t="n">
        <v>8</v>
      </c>
      <c r="D10" s="14" t="n">
        <v>16</v>
      </c>
      <c r="E10" s="14" t="n">
        <v>26</v>
      </c>
      <c r="F10" s="14" t="n">
        <v>38</v>
      </c>
    </row>
    <row r="11">
      <c r="A11" s="5" t="inlineStr">
        <is>
          <t>1人あたり人件費(年・法定福利込)</t>
        </is>
      </c>
      <c r="B11" s="10" t="n">
        <v>720</v>
      </c>
      <c r="C11" s="10" t="n">
        <v>720</v>
      </c>
      <c r="D11" s="10" t="n">
        <v>720</v>
      </c>
      <c r="E11" s="10" t="n">
        <v>720</v>
      </c>
      <c r="F11" s="10" t="n">
        <v>720</v>
      </c>
    </row>
    <row r="12">
      <c r="A12" s="5" t="inlineStr">
        <is>
          <t>期中の平均在籍率</t>
        </is>
      </c>
      <c r="B12" s="11" t="n">
        <v>0.6</v>
      </c>
      <c r="C12" s="11" t="n">
        <v>0.7</v>
      </c>
      <c r="D12" s="11" t="n">
        <v>0.75</v>
      </c>
      <c r="E12" s="11" t="n">
        <v>0.8</v>
      </c>
      <c r="F12" s="11" t="n">
        <v>0.85</v>
      </c>
    </row>
    <row r="13">
      <c r="A13" s="5" t="inlineStr">
        <is>
          <t>その他の販管費</t>
        </is>
      </c>
      <c r="B13" s="10" t="n">
        <v>1100</v>
      </c>
      <c r="C13" s="10" t="n">
        <v>1500</v>
      </c>
      <c r="D13" s="10" t="n">
        <v>3000</v>
      </c>
      <c r="E13" s="10" t="n">
        <v>5000</v>
      </c>
      <c r="F13" s="10" t="n">
        <v>12000</v>
      </c>
    </row>
    <row r="15">
      <c r="A15" s="5" t="inlineStr">
        <is>
          <t>受託売上</t>
        </is>
      </c>
      <c r="B15" s="26">
        <f>B5*B6</f>
        <v/>
      </c>
      <c r="C15" s="26">
        <f>C5*C6</f>
        <v/>
      </c>
      <c r="D15" s="26">
        <f>D5*D6</f>
        <v/>
      </c>
      <c r="E15" s="26">
        <f>E5*E6</f>
        <v/>
      </c>
      <c r="F15" s="26">
        <f>F5*F6</f>
        <v/>
      </c>
    </row>
    <row r="16">
      <c r="A16" s="5" t="inlineStr">
        <is>
          <t>プロダクト売上</t>
        </is>
      </c>
      <c r="B16" s="26">
        <f>B8</f>
        <v/>
      </c>
      <c r="C16" s="26">
        <f>C8</f>
        <v/>
      </c>
      <c r="D16" s="26">
        <f>D8</f>
        <v/>
      </c>
      <c r="E16" s="26">
        <f>E8</f>
        <v/>
      </c>
      <c r="F16" s="26">
        <f>F8</f>
        <v/>
      </c>
    </row>
    <row r="17">
      <c r="A17" s="16" t="inlineStr">
        <is>
          <t>売上高</t>
        </is>
      </c>
      <c r="B17" s="20">
        <f>B15+B16</f>
        <v/>
      </c>
      <c r="C17" s="20">
        <f>C15+C16</f>
        <v/>
      </c>
      <c r="D17" s="20">
        <f>D15+D16</f>
        <v/>
      </c>
      <c r="E17" s="20">
        <f>E15+E16</f>
        <v/>
      </c>
      <c r="F17" s="20">
        <f>F15+F16</f>
        <v/>
      </c>
    </row>
    <row r="18">
      <c r="A18" s="5" t="inlineStr">
        <is>
          <t>売上原価</t>
        </is>
      </c>
      <c r="B18" s="26">
        <f>B5*B7+B8*B9</f>
        <v/>
      </c>
      <c r="C18" s="26">
        <f>C5*C7+C8*C9</f>
        <v/>
      </c>
      <c r="D18" s="26">
        <f>D5*D7+D8*D9</f>
        <v/>
      </c>
      <c r="E18" s="26">
        <f>E5*E7+E8*E9</f>
        <v/>
      </c>
      <c r="F18" s="26">
        <f>F5*F7+F8*F9</f>
        <v/>
      </c>
    </row>
    <row r="19">
      <c r="A19" s="16" t="inlineStr">
        <is>
          <t>売上総利益</t>
        </is>
      </c>
      <c r="B19" s="20">
        <f>B17-B18</f>
        <v/>
      </c>
      <c r="C19" s="20">
        <f>C17-C18</f>
        <v/>
      </c>
      <c r="D19" s="20">
        <f>D17-D18</f>
        <v/>
      </c>
      <c r="E19" s="20">
        <f>E17-E18</f>
        <v/>
      </c>
      <c r="F19" s="20">
        <f>F17-F18</f>
        <v/>
      </c>
    </row>
    <row r="20">
      <c r="A20" s="5" t="inlineStr">
        <is>
          <t>粗利率</t>
        </is>
      </c>
      <c r="B20" s="31">
        <f>IF(B17=0,0,B19/B17)</f>
        <v/>
      </c>
      <c r="C20" s="31">
        <f>IF(C17=0,0,C19/C17)</f>
        <v/>
      </c>
      <c r="D20" s="31">
        <f>IF(D17=0,0,D19/D17)</f>
        <v/>
      </c>
      <c r="E20" s="31">
        <f>IF(E17=0,0,E19/E17)</f>
        <v/>
      </c>
      <c r="F20" s="31">
        <f>IF(F17=0,0,F19/F17)</f>
        <v/>
      </c>
    </row>
    <row r="21">
      <c r="A21" s="5" t="inlineStr">
        <is>
          <t>人件費</t>
        </is>
      </c>
      <c r="B21" s="26">
        <f>B10*B11*B12</f>
        <v/>
      </c>
      <c r="C21" s="26">
        <f>C10*C11*C12</f>
        <v/>
      </c>
      <c r="D21" s="26">
        <f>D10*D11*D12</f>
        <v/>
      </c>
      <c r="E21" s="26">
        <f>E10*E11*E12</f>
        <v/>
      </c>
      <c r="F21" s="26">
        <f>F10*F11*F12</f>
        <v/>
      </c>
    </row>
    <row r="22">
      <c r="A22" s="5" t="inlineStr">
        <is>
          <t>その他の販管費</t>
        </is>
      </c>
      <c r="B22" s="26">
        <f>B13</f>
        <v/>
      </c>
      <c r="C22" s="26">
        <f>C13</f>
        <v/>
      </c>
      <c r="D22" s="26">
        <f>D13</f>
        <v/>
      </c>
      <c r="E22" s="26">
        <f>E13</f>
        <v/>
      </c>
      <c r="F22" s="26">
        <f>F13</f>
        <v/>
      </c>
    </row>
    <row r="23">
      <c r="A23" s="16" t="inlineStr">
        <is>
          <t>販管費 合計</t>
        </is>
      </c>
      <c r="B23" s="20">
        <f>B21+B22</f>
        <v/>
      </c>
      <c r="C23" s="20">
        <f>C21+C22</f>
        <v/>
      </c>
      <c r="D23" s="20">
        <f>D21+D22</f>
        <v/>
      </c>
      <c r="E23" s="20">
        <f>E21+E22</f>
        <v/>
      </c>
      <c r="F23" s="20">
        <f>F21+F22</f>
        <v/>
      </c>
    </row>
    <row r="24">
      <c r="A24" s="16" t="inlineStr">
        <is>
          <t>営業利益</t>
        </is>
      </c>
      <c r="B24" s="21">
        <f>B19-B23</f>
        <v/>
      </c>
      <c r="C24" s="21">
        <f>C19-C23</f>
        <v/>
      </c>
      <c r="D24" s="21">
        <f>D19-D23</f>
        <v/>
      </c>
      <c r="E24" s="21">
        <f>E19-E23</f>
        <v/>
      </c>
      <c r="F24" s="21">
        <f>F19-F23</f>
        <v/>
      </c>
    </row>
    <row r="25">
      <c r="A25" s="5" t="inlineStr">
        <is>
          <t>営業利益率</t>
        </is>
      </c>
      <c r="B25" s="31">
        <f>IF(B17=0,0,B24/B17)</f>
        <v/>
      </c>
      <c r="C25" s="31">
        <f>IF(C17=0,0,C24/C17)</f>
        <v/>
      </c>
      <c r="D25" s="31">
        <f>IF(D17=0,0,D24/D17)</f>
        <v/>
      </c>
      <c r="E25" s="31">
        <f>IF(E17=0,0,E24/E17)</f>
        <v/>
      </c>
      <c r="F25" s="31">
        <f>IF(F17=0,0,F24/F17)</f>
        <v/>
      </c>
    </row>
    <row r="27">
      <c r="A27" s="5" t="inlineStr">
        <is>
          <t>プロダクト比率</t>
        </is>
      </c>
      <c r="B27" s="32">
        <f>IF(B17=0,0,B16/B17)</f>
        <v/>
      </c>
      <c r="C27" s="32">
        <f>IF(C17=0,0,C16/C17)</f>
        <v/>
      </c>
      <c r="D27" s="32">
        <f>IF(D17=0,0,D16/D17)</f>
        <v/>
      </c>
      <c r="E27" s="32">
        <f>IF(E17=0,0,E16/E17)</f>
        <v/>
      </c>
      <c r="F27" s="32">
        <f>IF(F17=0,0,F16/F17)</f>
        <v/>
      </c>
    </row>
    <row r="28">
      <c r="A28" s="5" t="inlineStr">
        <is>
          <t>1人あたり売上</t>
        </is>
      </c>
      <c r="B28" s="26">
        <f>IF(B10=0,0,B17/B10)</f>
        <v/>
      </c>
      <c r="C28" s="26">
        <f>IF(C10=0,0,C17/C10)</f>
        <v/>
      </c>
      <c r="D28" s="26">
        <f>IF(D10=0,0,D17/D10)</f>
        <v/>
      </c>
      <c r="E28" s="26">
        <f>IF(E10=0,0,E17/E10)</f>
        <v/>
      </c>
      <c r="F28" s="26">
        <f>IF(F10=0,0,F17/F10)</f>
        <v/>
      </c>
    </row>
    <row r="30">
      <c r="A30" s="2" t="inlineStr">
        <is>
          <t>※ 1年目は『資金繰り』シートの月次と整合させてください(受注本数の合計)。</t>
        </is>
      </c>
    </row>
    <row r="31">
      <c r="A31" s="2" t="inlineStr">
        <is>
          <t>※ 消費税(海外発注は仕入税額控除が取れない可能性)は未反映。確定後に1本あたり原価へ上乗せする。</t>
        </is>
      </c>
    </row>
    <row r="32">
      <c r="A32" s="2" t="inlineStr">
        <is>
          <t>※ 支払利息・法人税は未計上。営業利益までのモデル。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2026-09-06T13:00:47Z</dcterms:created>
  <dcterms:modified xsi:type="dcterms:W3CDTF">2026-09-06T13:00:47Z</dcterms:modified>
</cp:coreProperties>
</file>