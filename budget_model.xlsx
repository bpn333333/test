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前提" sheetId="1" state="visible" r:id="rId3"/>
    <sheet name="初期費用" sheetId="2" state="visible" r:id="rId4"/>
    <sheet name="月次固定費" sheetId="3" state="visible" r:id="rId5"/>
    <sheet name="資金繰り" sheetId="4" state="visible" r:id="rId6"/>
    <sheet name="必要調達" sheetId="5" state="visible" r:id="rId7"/>
    <sheet name="年次PL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<sst xmlns="http://schemas.openxmlformats.org/spreadsheetml/2006/main" count="219" uniqueCount="202">
  <si>
    <r>
      <rPr>
        <b val="true"/>
        <sz val="14"/>
        <rFont val="Arial"/>
        <family val="0"/>
        <charset val="1"/>
      </rPr>
      <t xml:space="preserve">AI</t>
    </r>
    <r>
      <rPr>
        <b val="true"/>
        <sz val="14"/>
        <rFont val="WenQuanYi Zen Hei"/>
        <family val="2"/>
      </rPr>
      <t xml:space="preserve">映像制作事業 — 予算モデル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保守版</t>
    </r>
    <r>
      <rPr>
        <b val="true"/>
        <sz val="14"/>
        <rFont val="Arial"/>
        <family val="0"/>
        <charset val="1"/>
      </rPr>
      <t xml:space="preserve">)</t>
    </r>
  </si>
  <si>
    <r>
      <rPr>
        <sz val="9"/>
        <color rgb="FF808080"/>
        <rFont val="WenQuanYi Zen Hei"/>
        <family val="2"/>
      </rPr>
      <t xml:space="preserve">単位</t>
    </r>
    <r>
      <rPr>
        <sz val="9"/>
        <color rgb="FF808080"/>
        <rFont val="Arial"/>
        <family val="0"/>
        <charset val="1"/>
      </rPr>
      <t xml:space="preserve">: </t>
    </r>
    <r>
      <rPr>
        <sz val="9"/>
        <color rgb="FF808080"/>
        <rFont val="WenQuanYi Zen Hei"/>
        <family val="2"/>
      </rPr>
      <t xml:space="preserve">万円 </t>
    </r>
    <r>
      <rPr>
        <sz val="9"/>
        <color rgb="FF808080"/>
        <rFont val="Arial"/>
        <family val="0"/>
        <charset val="1"/>
      </rPr>
      <t xml:space="preserve">/ 1</t>
    </r>
    <r>
      <rPr>
        <sz val="9"/>
        <color rgb="FF808080"/>
        <rFont val="WenQuanYi Zen Hei"/>
        <family val="2"/>
      </rPr>
      <t xml:space="preserve">年目 </t>
    </r>
    <r>
      <rPr>
        <sz val="9"/>
        <color rgb="FF808080"/>
        <rFont val="Arial"/>
        <family val="0"/>
        <charset val="1"/>
      </rPr>
      <t xml:space="preserve">= 2026</t>
    </r>
    <r>
      <rPr>
        <sz val="9"/>
        <color rgb="FF808080"/>
        <rFont val="WenQuanYi Zen Hei"/>
        <family val="2"/>
      </rPr>
      <t xml:space="preserve">年</t>
    </r>
    <r>
      <rPr>
        <sz val="9"/>
        <color rgb="FF808080"/>
        <rFont val="Arial"/>
        <family val="0"/>
        <charset val="1"/>
      </rPr>
      <t xml:space="preserve">10</t>
    </r>
    <r>
      <rPr>
        <sz val="9"/>
        <color rgb="FF808080"/>
        <rFont val="WenQuanYi Zen Hei"/>
        <family val="2"/>
      </rPr>
      <t xml:space="preserve">月〜</t>
    </r>
    <r>
      <rPr>
        <sz val="9"/>
        <color rgb="FF808080"/>
        <rFont val="Arial"/>
        <family val="0"/>
        <charset val="1"/>
      </rPr>
      <t xml:space="preserve">2027</t>
    </r>
    <r>
      <rPr>
        <sz val="9"/>
        <color rgb="FF808080"/>
        <rFont val="WenQuanYi Zen Hei"/>
        <family val="2"/>
      </rPr>
      <t xml:space="preserve">年</t>
    </r>
    <r>
      <rPr>
        <sz val="9"/>
        <color rgb="FF808080"/>
        <rFont val="Arial"/>
        <family val="0"/>
        <charset val="1"/>
      </rPr>
      <t xml:space="preserve">9</t>
    </r>
    <r>
      <rPr>
        <sz val="9"/>
        <color rgb="FF808080"/>
        <rFont val="WenQuanYi Zen Hei"/>
        <family val="2"/>
      </rPr>
      <t xml:space="preserve">月</t>
    </r>
  </si>
  <si>
    <t xml:space="preserve">凡例</t>
  </si>
  <si>
    <t xml:space="preserve">青字</t>
  </si>
  <si>
    <t xml:space="preserve">入力セル。ここを書き換える</t>
  </si>
  <si>
    <t xml:space="preserve">黒字</t>
  </si>
  <si>
    <t xml:space="preserve">計算式。編集しない</t>
  </si>
  <si>
    <t xml:space="preserve">緑字</t>
  </si>
  <si>
    <t xml:space="preserve">他シートへの参照</t>
  </si>
  <si>
    <t xml:space="preserve">黄色の網掛け</t>
  </si>
  <si>
    <t xml:space="preserve">最重要の前提。まずここを検証する</t>
  </si>
  <si>
    <t xml:space="preserve">シナリオ</t>
  </si>
  <si>
    <r>
      <rPr>
        <sz val="10"/>
        <rFont val="WenQuanYi Zen Hei"/>
        <family val="2"/>
      </rPr>
      <t xml:space="preserve">シナリオ選択</t>
    </r>
    <r>
      <rPr>
        <sz val="10"/>
        <rFont val="Arial"/>
        <family val="0"/>
        <charset val="1"/>
      </rPr>
      <t xml:space="preserve">(1=</t>
    </r>
    <r>
      <rPr>
        <sz val="10"/>
        <rFont val="WenQuanYi Zen Hei"/>
        <family val="2"/>
      </rPr>
      <t xml:space="preserve">楽観 </t>
    </r>
    <r>
      <rPr>
        <sz val="10"/>
        <rFont val="Arial"/>
        <family val="0"/>
        <charset val="1"/>
      </rPr>
      <t xml:space="preserve">/ 2=</t>
    </r>
    <r>
      <rPr>
        <sz val="10"/>
        <rFont val="WenQuanYi Zen Hei"/>
        <family val="2"/>
      </rPr>
      <t xml:space="preserve">標準 </t>
    </r>
    <r>
      <rPr>
        <sz val="10"/>
        <rFont val="Arial"/>
        <family val="0"/>
        <charset val="1"/>
      </rPr>
      <t xml:space="preserve">/ 3=</t>
    </r>
    <r>
      <rPr>
        <sz val="10"/>
        <rFont val="WenQuanYi Zen Hei"/>
        <family val="2"/>
      </rPr>
      <t xml:space="preserve">実行可能版</t>
    </r>
    <r>
      <rPr>
        <sz val="10"/>
        <rFont val="Arial"/>
        <family val="0"/>
        <charset val="1"/>
      </rPr>
      <t xml:space="preserve">)</t>
    </r>
  </si>
  <si>
    <r>
      <rPr>
        <sz val="9"/>
        <color rgb="FF808080"/>
        <rFont val="Arial"/>
        <family val="0"/>
        <charset val="1"/>
      </rPr>
      <t xml:space="preserve">← 1</t>
    </r>
    <r>
      <rPr>
        <sz val="9"/>
        <color rgb="FF808080"/>
        <rFont val="WenQuanYi Zen Hei"/>
        <family val="2"/>
      </rPr>
      <t xml:space="preserve">〜</t>
    </r>
    <r>
      <rPr>
        <sz val="9"/>
        <color rgb="FF808080"/>
        <rFont val="Arial"/>
        <family val="0"/>
        <charset val="1"/>
      </rPr>
      <t xml:space="preserve">3 </t>
    </r>
    <r>
      <rPr>
        <sz val="9"/>
        <color rgb="FF808080"/>
        <rFont val="WenQuanYi Zen Hei"/>
        <family val="2"/>
      </rPr>
      <t xml:space="preserve">を入れると各シートの金額が切り替わります</t>
    </r>
  </si>
  <si>
    <t xml:space="preserve">調達</t>
  </si>
  <si>
    <r>
      <rPr>
        <sz val="10"/>
        <rFont val="WenQuanYi Zen Hei"/>
        <family val="2"/>
      </rPr>
      <t xml:space="preserve">資本金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自己資金</t>
    </r>
    <r>
      <rPr>
        <sz val="10"/>
        <rFont val="Arial"/>
        <family val="0"/>
        <charset val="1"/>
      </rPr>
      <t xml:space="preserve">)</t>
    </r>
  </si>
  <si>
    <t xml:space="preserve">設立時に払込</t>
  </si>
  <si>
    <t xml:space="preserve">創業融資</t>
  </si>
  <si>
    <r>
      <rPr>
        <sz val="9"/>
        <color rgb="FF808080"/>
        <rFont val="WenQuanYi Zen Hei"/>
        <family val="2"/>
      </rPr>
      <t xml:space="preserve">公庫 </t>
    </r>
    <r>
      <rPr>
        <sz val="9"/>
        <color rgb="FF808080"/>
        <rFont val="Arial"/>
        <family val="0"/>
        <charset val="1"/>
      </rPr>
      <t xml:space="preserve">+ </t>
    </r>
    <r>
      <rPr>
        <sz val="9"/>
        <color rgb="FF808080"/>
        <rFont val="WenQuanYi Zen Hei"/>
        <family val="2"/>
      </rPr>
      <t xml:space="preserve">制度融資の協調</t>
    </r>
  </si>
  <si>
    <r>
      <rPr>
        <sz val="10"/>
        <rFont val="WenQuanYi Zen Hei"/>
        <family val="2"/>
      </rPr>
      <t xml:space="preserve">融資の着金月</t>
    </r>
    <r>
      <rPr>
        <sz val="10"/>
        <rFont val="Arial"/>
        <family val="0"/>
        <charset val="1"/>
      </rPr>
      <t xml:space="preserve">(1=2026/10)</t>
    </r>
  </si>
  <si>
    <r>
      <rPr>
        <sz val="9"/>
        <color rgb="FF808080"/>
        <rFont val="WenQuanYi Zen Hei"/>
        <family val="2"/>
      </rPr>
      <t xml:space="preserve">申込から</t>
    </r>
    <r>
      <rPr>
        <sz val="9"/>
        <color rgb="FF808080"/>
        <rFont val="Arial"/>
        <family val="0"/>
        <charset val="1"/>
      </rPr>
      <t xml:space="preserve">1</t>
    </r>
    <r>
      <rPr>
        <sz val="9"/>
        <color rgb="FF808080"/>
        <rFont val="WenQuanYi Zen Hei"/>
        <family val="2"/>
      </rPr>
      <t xml:space="preserve">〜</t>
    </r>
    <r>
      <rPr>
        <sz val="9"/>
        <color rgb="FF808080"/>
        <rFont val="Arial"/>
        <family val="0"/>
        <charset val="1"/>
      </rPr>
      <t xml:space="preserve">1.5</t>
    </r>
    <r>
      <rPr>
        <sz val="9"/>
        <color rgb="FF808080"/>
        <rFont val="WenQuanYi Zen Hei"/>
        <family val="2"/>
      </rPr>
      <t xml:space="preserve">ヶ月</t>
    </r>
  </si>
  <si>
    <r>
      <rPr>
        <sz val="10"/>
        <rFont val="WenQuanYi Zen Hei"/>
        <family val="2"/>
      </rPr>
      <t xml:space="preserve">融資金利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年</t>
    </r>
    <r>
      <rPr>
        <sz val="10"/>
        <rFont val="Arial"/>
        <family val="0"/>
        <charset val="1"/>
      </rPr>
      <t xml:space="preserve">)</t>
    </r>
  </si>
  <si>
    <t xml:space="preserve">公庫 創業期・無担保の想定</t>
  </si>
  <si>
    <r>
      <rPr>
        <sz val="10"/>
        <rFont val="WenQuanYi Zen Hei"/>
        <family val="2"/>
      </rPr>
      <t xml:space="preserve">目標バッファ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月数</t>
    </r>
    <r>
      <rPr>
        <sz val="10"/>
        <rFont val="Arial"/>
        <family val="0"/>
        <charset val="1"/>
      </rPr>
      <t xml:space="preserve">)</t>
    </r>
  </si>
  <si>
    <r>
      <rPr>
        <sz val="9"/>
        <color rgb="FF808080"/>
        <rFont val="Arial"/>
        <family val="0"/>
        <charset val="1"/>
      </rPr>
      <t xml:space="preserve">1</t>
    </r>
    <r>
      <rPr>
        <sz val="9"/>
        <color rgb="FF808080"/>
        <rFont val="WenQuanYi Zen Hei"/>
        <family val="2"/>
      </rPr>
      <t xml:space="preserve">年目末に残したい固定費の月数</t>
    </r>
  </si>
  <si>
    <t xml:space="preserve">単価・入金</t>
  </si>
  <si>
    <r>
      <rPr>
        <sz val="10"/>
        <rFont val="WenQuanYi Zen Hei"/>
        <family val="2"/>
      </rPr>
      <t xml:space="preserve">平均単価</t>
    </r>
    <r>
      <rPr>
        <sz val="10"/>
        <rFont val="Arial"/>
        <family val="0"/>
        <charset val="1"/>
      </rPr>
      <t xml:space="preserve">(1</t>
    </r>
    <r>
      <rPr>
        <sz val="10"/>
        <rFont val="WenQuanYi Zen Hei"/>
        <family val="2"/>
      </rPr>
      <t xml:space="preserve">本</t>
    </r>
    <r>
      <rPr>
        <sz val="10"/>
        <rFont val="Arial"/>
        <family val="0"/>
        <charset val="1"/>
      </rPr>
      <t xml:space="preserve">)</t>
    </r>
  </si>
  <si>
    <r>
      <rPr>
        <sz val="9"/>
        <color rgb="FF808080"/>
        <rFont val="WenQuanYi Zen Hei"/>
        <family val="2"/>
      </rPr>
      <t xml:space="preserve">企業発注の中央値</t>
    </r>
    <r>
      <rPr>
        <sz val="9"/>
        <color rgb="FF808080"/>
        <rFont val="Arial"/>
        <family val="0"/>
        <charset val="1"/>
      </rPr>
      <t xml:space="preserve">54</t>
    </r>
    <r>
      <rPr>
        <sz val="9"/>
        <color rgb="FF808080"/>
        <rFont val="WenQuanYi Zen Hei"/>
        <family val="2"/>
      </rPr>
      <t xml:space="preserve">万より保守的</t>
    </r>
  </si>
  <si>
    <r>
      <rPr>
        <sz val="10"/>
        <rFont val="WenQuanYi Zen Hei"/>
        <family val="2"/>
      </rPr>
      <t xml:space="preserve">入金サイト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ヶ月</t>
    </r>
    <r>
      <rPr>
        <sz val="10"/>
        <rFont val="Arial"/>
        <family val="0"/>
        <charset val="1"/>
      </rPr>
      <t xml:space="preserve">)</t>
    </r>
  </si>
  <si>
    <t xml:space="preserve">納品の翌月末入金</t>
  </si>
  <si>
    <r>
      <rPr>
        <sz val="10"/>
        <rFont val="WenQuanYi Zen Hei"/>
        <family val="2"/>
      </rPr>
      <t xml:space="preserve">予備費率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初期費用に対して</t>
    </r>
    <r>
      <rPr>
        <sz val="10"/>
        <rFont val="Arial"/>
        <family val="0"/>
        <charset val="1"/>
      </rPr>
      <t xml:space="preserve">)</t>
    </r>
  </si>
  <si>
    <r>
      <rPr>
        <sz val="9"/>
        <color rgb="FF808080"/>
        <rFont val="WenQuanYi Zen Hei"/>
        <family val="2"/>
      </rPr>
      <t xml:space="preserve">創業期は必ず想定外が出る。</t>
    </r>
    <r>
      <rPr>
        <sz val="9"/>
        <color rgb="FF808080"/>
        <rFont val="Arial"/>
        <family val="0"/>
        <charset val="1"/>
      </rPr>
      <t xml:space="preserve">15</t>
    </r>
    <r>
      <rPr>
        <sz val="9"/>
        <color rgb="FF808080"/>
        <rFont val="WenQuanYi Zen Hei"/>
        <family val="2"/>
      </rPr>
      <t xml:space="preserve">〜</t>
    </r>
    <r>
      <rPr>
        <sz val="9"/>
        <color rgb="FF808080"/>
        <rFont val="Arial"/>
        <family val="0"/>
        <charset val="1"/>
      </rPr>
      <t xml:space="preserve">20%</t>
    </r>
  </si>
  <si>
    <r>
      <rPr>
        <b val="true"/>
        <sz val="11"/>
        <rFont val="WenQuanYi Zen Hei"/>
        <family val="2"/>
      </rPr>
      <t xml:space="preserve">変動費 — </t>
    </r>
    <r>
      <rPr>
        <b val="true"/>
        <sz val="11"/>
        <rFont val="Arial"/>
        <family val="0"/>
        <charset val="1"/>
      </rPr>
      <t xml:space="preserve">1</t>
    </r>
    <r>
      <rPr>
        <b val="true"/>
        <sz val="11"/>
        <rFont val="WenQuanYi Zen Hei"/>
        <family val="2"/>
      </rPr>
      <t xml:space="preserve">本あたり</t>
    </r>
  </si>
  <si>
    <t xml:space="preserve">項目</t>
  </si>
  <si>
    <t xml:space="preserve">楽観</t>
  </si>
  <si>
    <t xml:space="preserve">標準</t>
  </si>
  <si>
    <t xml:space="preserve">実行可能版</t>
  </si>
  <si>
    <t xml:space="preserve">採用額</t>
  </si>
  <si>
    <t xml:space="preserve">備考</t>
  </si>
  <si>
    <t xml:space="preserve">個人クリエイターへの支払</t>
  </si>
  <si>
    <r>
      <rPr>
        <sz val="9"/>
        <color rgb="FF808080"/>
        <rFont val="Arial"/>
        <family val="0"/>
        <charset val="1"/>
      </rPr>
      <t xml:space="preserve">B</t>
    </r>
    <r>
      <rPr>
        <sz val="9"/>
        <color rgb="FF808080"/>
        <rFont val="WenQuanYi Zen Hei"/>
        <family val="2"/>
      </rPr>
      <t xml:space="preserve">ランク基準。</t>
    </r>
    <r>
      <rPr>
        <sz val="9"/>
        <color rgb="FF808080"/>
        <rFont val="Arial"/>
        <family val="0"/>
        <charset val="1"/>
      </rPr>
      <t xml:space="preserve">P0</t>
    </r>
    <r>
      <rPr>
        <sz val="9"/>
        <color rgb="FF808080"/>
        <rFont val="WenQuanYi Zen Hei"/>
        <family val="2"/>
      </rPr>
      <t xml:space="preserve">の有償テストで実測する</t>
    </r>
  </si>
  <si>
    <r>
      <rPr>
        <sz val="10"/>
        <rFont val="WenQuanYi Zen Hei"/>
        <family val="2"/>
      </rPr>
      <t xml:space="preserve">一次レビュー報酬</t>
    </r>
    <r>
      <rPr>
        <sz val="10"/>
        <rFont val="Arial"/>
        <family val="0"/>
        <charset val="1"/>
      </rPr>
      <t xml:space="preserve">(A</t>
    </r>
    <r>
      <rPr>
        <sz val="10"/>
        <rFont val="WenQuanYi Zen Hei"/>
        <family val="2"/>
      </rPr>
      <t xml:space="preserve">ランク</t>
    </r>
    <r>
      <rPr>
        <sz val="10"/>
        <rFont val="Arial"/>
        <family val="0"/>
        <charset val="1"/>
      </rPr>
      <t xml:space="preserve">)</t>
    </r>
  </si>
  <si>
    <t xml:space="preserve">品質を人で担保する部分。削らない</t>
  </si>
  <si>
    <r>
      <rPr>
        <sz val="10"/>
        <rFont val="Arial"/>
        <family val="0"/>
        <charset val="1"/>
      </rPr>
      <t xml:space="preserve">AI</t>
    </r>
    <r>
      <rPr>
        <sz val="10"/>
        <rFont val="WenQuanYi Zen Hei"/>
        <family val="2"/>
      </rPr>
      <t xml:space="preserve">ツール従量</t>
    </r>
  </si>
  <si>
    <t xml:space="preserve">やり直しが発生する</t>
  </si>
  <si>
    <t xml:space="preserve">素材・音源ライセンス</t>
  </si>
  <si>
    <t xml:space="preserve">商用利用可のもの</t>
  </si>
  <si>
    <t xml:space="preserve">品質バッファ</t>
  </si>
  <si>
    <t xml:space="preserve">作り直し・追加アサイン</t>
  </si>
  <si>
    <t xml:space="preserve">為替バッファ</t>
  </si>
  <si>
    <r>
      <rPr>
        <sz val="9"/>
        <color rgb="FF808080"/>
        <rFont val="WenQuanYi Zen Hei"/>
        <family val="2"/>
      </rPr>
      <t xml:space="preserve">人民元建て </t>
    </r>
    <r>
      <rPr>
        <sz val="9"/>
        <color rgb="FF808080"/>
        <rFont val="Arial"/>
        <family val="0"/>
        <charset val="1"/>
      </rPr>
      <t xml:space="preserve">±5%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</si>
  <si>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本あたり原価 合計</t>
    </r>
  </si>
  <si>
    <t xml:space="preserve">粗利率</t>
  </si>
  <si>
    <r>
      <rPr>
        <sz val="9"/>
        <color rgb="FF808080"/>
        <rFont val="Arial"/>
        <family val="0"/>
        <charset val="1"/>
      </rPr>
      <t xml:space="preserve">1</t>
    </r>
    <r>
      <rPr>
        <sz val="9"/>
        <color rgb="FF808080"/>
        <rFont val="WenQuanYi Zen Hei"/>
        <family val="2"/>
      </rPr>
      <t xml:space="preserve">本原価 </t>
    </r>
    <r>
      <rPr>
        <sz val="9"/>
        <color rgb="FF808080"/>
        <rFont val="Arial"/>
        <family val="0"/>
        <charset val="1"/>
      </rPr>
      <t xml:space="preserve">÷ </t>
    </r>
    <r>
      <rPr>
        <sz val="9"/>
        <color rgb="FF808080"/>
        <rFont val="WenQuanYi Zen Hei"/>
        <family val="2"/>
      </rPr>
      <t xml:space="preserve">平均単価 を </t>
    </r>
    <r>
      <rPr>
        <sz val="9"/>
        <color rgb="FF808080"/>
        <rFont val="Arial"/>
        <family val="0"/>
        <charset val="1"/>
      </rPr>
      <t xml:space="preserve">1 </t>
    </r>
    <r>
      <rPr>
        <sz val="9"/>
        <color rgb="FF808080"/>
        <rFont val="WenQuanYi Zen Hei"/>
        <family val="2"/>
      </rPr>
      <t xml:space="preserve">から引いた値</t>
    </r>
  </si>
  <si>
    <r>
      <rPr>
        <b val="true"/>
        <sz val="14"/>
        <rFont val="Arial"/>
        <family val="0"/>
        <charset val="1"/>
      </rPr>
      <t xml:space="preserve">A. </t>
    </r>
    <r>
      <rPr>
        <b val="true"/>
        <sz val="14"/>
        <rFont val="WenQuanYi Zen Hei"/>
        <family val="2"/>
      </rPr>
      <t xml:space="preserve">初期費用</t>
    </r>
  </si>
  <si>
    <r>
      <rPr>
        <sz val="9"/>
        <color rgb="FF808080"/>
        <rFont val="WenQuanYi Zen Hei"/>
        <family val="2"/>
      </rPr>
      <t xml:space="preserve">単位</t>
    </r>
    <r>
      <rPr>
        <sz val="9"/>
        <color rgb="FF808080"/>
        <rFont val="Arial"/>
        <family val="0"/>
        <charset val="1"/>
      </rPr>
      <t xml:space="preserve">: </t>
    </r>
    <r>
      <rPr>
        <sz val="9"/>
        <color rgb="FF808080"/>
        <rFont val="WenQuanYi Zen Hei"/>
        <family val="2"/>
      </rPr>
      <t xml:space="preserve">万円 </t>
    </r>
    <r>
      <rPr>
        <sz val="9"/>
        <color rgb="FF808080"/>
        <rFont val="Arial"/>
        <family val="0"/>
        <charset val="1"/>
      </rPr>
      <t xml:space="preserve">/ </t>
    </r>
    <r>
      <rPr>
        <sz val="9"/>
        <color rgb="FF808080"/>
        <rFont val="WenQuanYi Zen Hei"/>
        <family val="2"/>
      </rPr>
      <t xml:space="preserve">発生月は </t>
    </r>
    <r>
      <rPr>
        <sz val="9"/>
        <color rgb="FF808080"/>
        <rFont val="Arial"/>
        <family val="0"/>
        <charset val="1"/>
      </rPr>
      <t xml:space="preserve">1=2026</t>
    </r>
    <r>
      <rPr>
        <sz val="9"/>
        <color rgb="FF808080"/>
        <rFont val="WenQuanYi Zen Hei"/>
        <family val="2"/>
      </rPr>
      <t xml:space="preserve">年</t>
    </r>
    <r>
      <rPr>
        <sz val="9"/>
        <color rgb="FF808080"/>
        <rFont val="Arial"/>
        <family val="0"/>
        <charset val="1"/>
      </rPr>
      <t xml:space="preserve">10</t>
    </r>
    <r>
      <rPr>
        <sz val="9"/>
        <color rgb="FF808080"/>
        <rFont val="WenQuanYi Zen Hei"/>
        <family val="2"/>
      </rPr>
      <t xml:space="preserve">月 … </t>
    </r>
    <r>
      <rPr>
        <sz val="9"/>
        <color rgb="FF808080"/>
        <rFont val="Arial"/>
        <family val="0"/>
        <charset val="1"/>
      </rPr>
      <t xml:space="preserve">12=2027</t>
    </r>
    <r>
      <rPr>
        <sz val="9"/>
        <color rgb="FF808080"/>
        <rFont val="WenQuanYi Zen Hei"/>
        <family val="2"/>
      </rPr>
      <t xml:space="preserve">年</t>
    </r>
    <r>
      <rPr>
        <sz val="9"/>
        <color rgb="FF808080"/>
        <rFont val="Arial"/>
        <family val="0"/>
        <charset val="1"/>
      </rPr>
      <t xml:space="preserve">9</t>
    </r>
    <r>
      <rPr>
        <sz val="9"/>
        <color rgb="FF808080"/>
        <rFont val="WenQuanYi Zen Hei"/>
        <family val="2"/>
      </rPr>
      <t xml:space="preserve">月</t>
    </r>
  </si>
  <si>
    <t xml:space="preserve">発生月</t>
  </si>
  <si>
    <t xml:space="preserve">法人設立</t>
  </si>
  <si>
    <r>
      <rPr>
        <sz val="9"/>
        <color rgb="FF808080"/>
        <rFont val="WenQuanYi Zen Hei"/>
        <family val="2"/>
      </rPr>
      <t xml:space="preserve">定款認証</t>
    </r>
    <r>
      <rPr>
        <sz val="9"/>
        <color rgb="FF808080"/>
        <rFont val="Arial"/>
        <family val="0"/>
        <charset val="1"/>
      </rPr>
      <t xml:space="preserve">5 + </t>
    </r>
    <r>
      <rPr>
        <sz val="9"/>
        <color rgb="FF808080"/>
        <rFont val="WenQuanYi Zen Hei"/>
        <family val="2"/>
      </rPr>
      <t xml:space="preserve">登録免許税</t>
    </r>
    <r>
      <rPr>
        <sz val="9"/>
        <color rgb="FF808080"/>
        <rFont val="Arial"/>
        <family val="0"/>
        <charset val="1"/>
      </rPr>
      <t xml:space="preserve">15 + </t>
    </r>
    <r>
      <rPr>
        <sz val="9"/>
        <color rgb="FF808080"/>
        <rFont val="WenQuanYi Zen Hei"/>
        <family val="2"/>
      </rPr>
      <t xml:space="preserve">印鑑</t>
    </r>
    <r>
      <rPr>
        <sz val="9"/>
        <color rgb="FF808080"/>
        <rFont val="Arial"/>
        <family val="0"/>
        <charset val="1"/>
      </rPr>
      <t xml:space="preserve">2 + </t>
    </r>
    <r>
      <rPr>
        <sz val="9"/>
        <color rgb="FF808080"/>
        <rFont val="WenQuanYi Zen Hei"/>
        <family val="2"/>
      </rPr>
      <t xml:space="preserve">司法書士</t>
    </r>
    <r>
      <rPr>
        <sz val="9"/>
        <color rgb="FF808080"/>
        <rFont val="Arial"/>
        <family val="0"/>
        <charset val="1"/>
      </rPr>
      <t xml:space="preserve">8</t>
    </r>
  </si>
  <si>
    <t xml:space="preserve">事務所・什器</t>
  </si>
  <si>
    <r>
      <rPr>
        <sz val="9"/>
        <color rgb="FF808080"/>
        <rFont val="WenQuanYi Zen Hei"/>
        <family val="2"/>
      </rPr>
      <t xml:space="preserve">レンタルオフィス初期 </t>
    </r>
    <r>
      <rPr>
        <sz val="9"/>
        <color rgb="FF808080"/>
        <rFont val="Arial"/>
        <family val="0"/>
        <charset val="1"/>
      </rPr>
      <t xml:space="preserve">+ </t>
    </r>
    <r>
      <rPr>
        <sz val="9"/>
        <color rgb="FF808080"/>
        <rFont val="WenQuanYi Zen Hei"/>
        <family val="2"/>
      </rPr>
      <t xml:space="preserve">什器</t>
    </r>
  </si>
  <si>
    <t xml:space="preserve">渡航・クリエイター選定</t>
  </si>
  <si>
    <r>
      <rPr>
        <sz val="9"/>
        <color rgb="FF808080"/>
        <rFont val="WenQuanYi Zen Hei"/>
        <family val="2"/>
      </rPr>
      <t xml:space="preserve">有償テスト課題 </t>
    </r>
    <r>
      <rPr>
        <sz val="9"/>
        <color rgb="FF808080"/>
        <rFont val="Arial"/>
        <family val="0"/>
        <charset val="1"/>
      </rPr>
      <t xml:space="preserve">+ </t>
    </r>
    <r>
      <rPr>
        <sz val="9"/>
        <color rgb="FF808080"/>
        <rFont val="WenQuanYi Zen Hei"/>
        <family val="2"/>
      </rPr>
      <t xml:space="preserve">渡航</t>
    </r>
    <r>
      <rPr>
        <sz val="9"/>
        <color rgb="FF808080"/>
        <rFont val="Arial"/>
        <family val="0"/>
        <charset val="1"/>
      </rPr>
      <t xml:space="preserve">2</t>
    </r>
    <r>
      <rPr>
        <sz val="9"/>
        <color rgb="FF808080"/>
        <rFont val="WenQuanYi Zen Hei"/>
        <family val="2"/>
      </rPr>
      <t xml:space="preserve">回</t>
    </r>
  </si>
  <si>
    <t xml:space="preserve">機材</t>
  </si>
  <si>
    <r>
      <rPr>
        <sz val="9"/>
        <color rgb="FF808080"/>
        <rFont val="Arial"/>
        <family val="0"/>
        <charset val="1"/>
      </rPr>
      <t xml:space="preserve">PC2</t>
    </r>
    <r>
      <rPr>
        <sz val="9"/>
        <color rgb="FF808080"/>
        <rFont val="WenQuanYi Zen Hei"/>
        <family val="2"/>
      </rPr>
      <t xml:space="preserve">台 </t>
    </r>
    <r>
      <rPr>
        <sz val="9"/>
        <color rgb="FF808080"/>
        <rFont val="Arial"/>
        <family val="0"/>
        <charset val="1"/>
      </rPr>
      <t xml:space="preserve">+ </t>
    </r>
    <r>
      <rPr>
        <sz val="9"/>
        <color rgb="FF808080"/>
        <rFont val="WenQuanYi Zen Hei"/>
        <family val="2"/>
      </rPr>
      <t xml:space="preserve">モニター </t>
    </r>
    <r>
      <rPr>
        <sz val="9"/>
        <color rgb="FF808080"/>
        <rFont val="Arial"/>
        <family val="0"/>
        <charset val="1"/>
      </rPr>
      <t xml:space="preserve">+ </t>
    </r>
    <r>
      <rPr>
        <sz val="9"/>
        <color rgb="FF808080"/>
        <rFont val="WenQuanYi Zen Hei"/>
        <family val="2"/>
      </rPr>
      <t xml:space="preserve">ストレージ </t>
    </r>
    <r>
      <rPr>
        <sz val="9"/>
        <color rgb="FF808080"/>
        <rFont val="Arial"/>
        <family val="0"/>
        <charset val="1"/>
      </rPr>
      <t xml:space="preserve">+ </t>
    </r>
    <r>
      <rPr>
        <sz val="9"/>
        <color rgb="FF808080"/>
        <rFont val="WenQuanYi Zen Hei"/>
        <family val="2"/>
      </rPr>
      <t xml:space="preserve">予備</t>
    </r>
  </si>
  <si>
    <t xml:space="preserve">サンプル制作</t>
  </si>
  <si>
    <r>
      <rPr>
        <sz val="9"/>
        <color rgb="FF808080"/>
        <rFont val="Arial"/>
        <family val="0"/>
        <charset val="1"/>
      </rPr>
      <t xml:space="preserve">A</t>
    </r>
    <r>
      <rPr>
        <sz val="9"/>
        <color rgb="FF808080"/>
        <rFont val="WenQuanYi Zen Hei"/>
        <family val="2"/>
      </rPr>
      <t xml:space="preserve">ランクで作る。営業の武器なので削らない</t>
    </r>
  </si>
  <si>
    <r>
      <rPr>
        <sz val="10"/>
        <rFont val="WenQuanYi Zen Hei"/>
        <family val="2"/>
      </rPr>
      <t xml:space="preserve">ブランド・</t>
    </r>
    <r>
      <rPr>
        <sz val="10"/>
        <rFont val="Arial"/>
        <family val="0"/>
        <charset val="1"/>
      </rPr>
      <t xml:space="preserve">LP</t>
    </r>
  </si>
  <si>
    <r>
      <rPr>
        <sz val="9"/>
        <color rgb="FF808080"/>
        <rFont val="Arial"/>
        <family val="0"/>
        <charset val="1"/>
      </rPr>
      <t xml:space="preserve">LP + </t>
    </r>
    <r>
      <rPr>
        <sz val="9"/>
        <color rgb="FF808080"/>
        <rFont val="WenQuanYi Zen Hei"/>
        <family val="2"/>
      </rPr>
      <t xml:space="preserve">ロゴ</t>
    </r>
    <r>
      <rPr>
        <sz val="9"/>
        <color rgb="FF808080"/>
        <rFont val="Arial"/>
        <family val="0"/>
        <charset val="1"/>
      </rPr>
      <t xml:space="preserve">VI + </t>
    </r>
    <r>
      <rPr>
        <sz val="9"/>
        <color rgb="FF808080"/>
        <rFont val="WenQuanYi Zen Hei"/>
        <family val="2"/>
      </rPr>
      <t xml:space="preserve">会社案内</t>
    </r>
  </si>
  <si>
    <t xml:space="preserve">採用</t>
  </si>
  <si>
    <r>
      <rPr>
        <sz val="9"/>
        <color rgb="FF808080"/>
        <rFont val="WenQuanYi Zen Hei"/>
        <family val="2"/>
      </rPr>
      <t xml:space="preserve">エージェントは年収の</t>
    </r>
    <r>
      <rPr>
        <sz val="9"/>
        <color rgb="FF808080"/>
        <rFont val="Arial"/>
        <family val="0"/>
        <charset val="1"/>
      </rPr>
      <t xml:space="preserve">30</t>
    </r>
    <r>
      <rPr>
        <sz val="9"/>
        <color rgb="FF808080"/>
        <rFont val="WenQuanYi Zen Hei"/>
        <family val="2"/>
      </rPr>
      <t xml:space="preserve">〜</t>
    </r>
    <r>
      <rPr>
        <sz val="9"/>
        <color rgb="FF808080"/>
        <rFont val="Arial"/>
        <family val="0"/>
        <charset val="1"/>
      </rPr>
      <t xml:space="preserve">35%</t>
    </r>
  </si>
  <si>
    <t xml:space="preserve">知的財産</t>
  </si>
  <si>
    <r>
      <rPr>
        <sz val="9"/>
        <color rgb="FF808080"/>
        <rFont val="WenQuanYi Zen Hei"/>
        <family val="2"/>
      </rPr>
      <t xml:space="preserve">弁理士相談 </t>
    </r>
    <r>
      <rPr>
        <sz val="9"/>
        <color rgb="FF808080"/>
        <rFont val="Arial"/>
        <family val="0"/>
        <charset val="1"/>
      </rPr>
      <t xml:space="preserve">+ </t>
    </r>
    <r>
      <rPr>
        <sz val="9"/>
        <color rgb="FF808080"/>
        <rFont val="WenQuanYi Zen Hei"/>
        <family val="2"/>
      </rPr>
      <t xml:space="preserve">特許出願 </t>
    </r>
    <r>
      <rPr>
        <sz val="9"/>
        <color rgb="FF808080"/>
        <rFont val="Arial"/>
        <family val="0"/>
        <charset val="1"/>
      </rPr>
      <t xml:space="preserve">+ </t>
    </r>
    <r>
      <rPr>
        <sz val="9"/>
        <color rgb="FF808080"/>
        <rFont val="WenQuanYi Zen Hei"/>
        <family val="2"/>
      </rPr>
      <t xml:space="preserve">商標</t>
    </r>
  </si>
  <si>
    <t xml:space="preserve">データ基盤</t>
  </si>
  <si>
    <t xml:space="preserve">実行可能版は最小構成から段階的に</t>
  </si>
  <si>
    <r>
      <rPr>
        <sz val="10"/>
        <rFont val="WenQuanYi Zen Hei"/>
        <family val="2"/>
      </rPr>
      <t xml:space="preserve">専門家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税理士・弁護士・社労士</t>
    </r>
    <r>
      <rPr>
        <sz val="10"/>
        <rFont val="Arial"/>
        <family val="0"/>
        <charset val="1"/>
      </rPr>
      <t xml:space="preserve">)</t>
    </r>
  </si>
  <si>
    <r>
      <rPr>
        <sz val="9"/>
        <color rgb="FF808080"/>
        <rFont val="WenQuanYi Zen Hei"/>
        <family val="2"/>
      </rPr>
      <t xml:space="preserve">中国法の弁護士</t>
    </r>
    <r>
      <rPr>
        <sz val="9"/>
        <color rgb="FF808080"/>
        <rFont val="Arial"/>
        <family val="0"/>
        <charset val="1"/>
      </rPr>
      <t xml:space="preserve">70</t>
    </r>
    <r>
      <rPr>
        <sz val="9"/>
        <color rgb="FF808080"/>
        <rFont val="WenQuanYi Zen Hei"/>
        <family val="2"/>
      </rPr>
      <t xml:space="preserve">万を含む。削らない</t>
    </r>
  </si>
  <si>
    <t xml:space="preserve">小計</t>
  </si>
  <si>
    <t xml:space="preserve">予備費</t>
  </si>
  <si>
    <r>
      <rPr>
        <sz val="9"/>
        <color rgb="FF808080"/>
        <rFont val="WenQuanYi Zen Hei"/>
        <family val="2"/>
      </rPr>
      <t xml:space="preserve">初期費用の</t>
    </r>
    <r>
      <rPr>
        <sz val="9"/>
        <color rgb="FF808080"/>
        <rFont val="Arial"/>
        <family val="0"/>
        <charset val="1"/>
      </rPr>
      <t xml:space="preserve">15%</t>
    </r>
    <r>
      <rPr>
        <sz val="9"/>
        <color rgb="FF808080"/>
        <rFont val="WenQuanYi Zen Hei"/>
        <family val="2"/>
      </rPr>
      <t xml:space="preserve">。これがないと必ず途中で足りなくなる</t>
    </r>
  </si>
  <si>
    <t xml:space="preserve">合計</t>
  </si>
  <si>
    <r>
      <rPr>
        <b val="true"/>
        <sz val="14"/>
        <rFont val="Arial"/>
        <family val="0"/>
        <charset val="1"/>
      </rPr>
      <t xml:space="preserve">B. </t>
    </r>
    <r>
      <rPr>
        <b val="true"/>
        <sz val="14"/>
        <rFont val="WenQuanYi Zen Hei"/>
        <family val="2"/>
      </rPr>
      <t xml:space="preserve">月次固定費</t>
    </r>
  </si>
  <si>
    <r>
      <rPr>
        <sz val="9"/>
        <color rgb="FF808080"/>
        <rFont val="WenQuanYi Zen Hei"/>
        <family val="2"/>
      </rPr>
      <t xml:space="preserve">単位</t>
    </r>
    <r>
      <rPr>
        <sz val="9"/>
        <color rgb="FF808080"/>
        <rFont val="Arial"/>
        <family val="0"/>
        <charset val="1"/>
      </rPr>
      <t xml:space="preserve">: </t>
    </r>
    <r>
      <rPr>
        <sz val="9"/>
        <color rgb="FF808080"/>
        <rFont val="WenQuanYi Zen Hei"/>
        <family val="2"/>
      </rPr>
      <t xml:space="preserve">万円 </t>
    </r>
    <r>
      <rPr>
        <sz val="9"/>
        <color rgb="FF808080"/>
        <rFont val="Arial"/>
        <family val="0"/>
        <charset val="1"/>
      </rPr>
      <t xml:space="preserve">/ </t>
    </r>
    <r>
      <rPr>
        <sz val="9"/>
        <color rgb="FF808080"/>
        <rFont val="WenQuanYi Zen Hei"/>
        <family val="2"/>
      </rPr>
      <t xml:space="preserve">開始月は </t>
    </r>
    <r>
      <rPr>
        <sz val="9"/>
        <color rgb="FF808080"/>
        <rFont val="Arial"/>
        <family val="0"/>
        <charset val="1"/>
      </rPr>
      <t xml:space="preserve">1=2026</t>
    </r>
    <r>
      <rPr>
        <sz val="9"/>
        <color rgb="FF808080"/>
        <rFont val="WenQuanYi Zen Hei"/>
        <family val="2"/>
      </rPr>
      <t xml:space="preserve">年</t>
    </r>
    <r>
      <rPr>
        <sz val="9"/>
        <color rgb="FF808080"/>
        <rFont val="Arial"/>
        <family val="0"/>
        <charset val="1"/>
      </rPr>
      <t xml:space="preserve">10</t>
    </r>
    <r>
      <rPr>
        <sz val="9"/>
        <color rgb="FF808080"/>
        <rFont val="WenQuanYi Zen Hei"/>
        <family val="2"/>
      </rPr>
      <t xml:space="preserve">月。役員報酬・採用の開始月を変えると資金繰りが動きます</t>
    </r>
  </si>
  <si>
    <t xml:space="preserve">開始月</t>
  </si>
  <si>
    <t xml:space="preserve">役員報酬</t>
  </si>
  <si>
    <r>
      <rPr>
        <sz val="9"/>
        <color rgb="FF808080"/>
        <rFont val="WenQuanYi Zen Hei"/>
        <family val="2"/>
      </rPr>
      <t xml:space="preserve">定期同額給与。設立時に決めた額が</t>
    </r>
    <r>
      <rPr>
        <sz val="9"/>
        <color rgb="FF808080"/>
        <rFont val="Arial"/>
        <family val="0"/>
        <charset val="1"/>
      </rPr>
      <t xml:space="preserve">1</t>
    </r>
    <r>
      <rPr>
        <sz val="9"/>
        <color rgb="FF808080"/>
        <rFont val="WenQuanYi Zen Hei"/>
        <family val="2"/>
      </rPr>
      <t xml:space="preserve">年固定</t>
    </r>
  </si>
  <si>
    <r>
      <rPr>
        <sz val="10"/>
        <rFont val="WenQuanYi Zen Hei"/>
        <family val="2"/>
      </rPr>
      <t xml:space="preserve">営業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名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給与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賞与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法定福利</t>
    </r>
    <r>
      <rPr>
        <sz val="10"/>
        <rFont val="Arial"/>
        <family val="0"/>
        <charset val="1"/>
      </rPr>
      <t xml:space="preserve">)</t>
    </r>
  </si>
  <si>
    <r>
      <rPr>
        <sz val="9"/>
        <color rgb="FF808080"/>
        <rFont val="WenQuanYi Zen Hei"/>
        <family val="2"/>
      </rPr>
      <t xml:space="preserve">年収</t>
    </r>
    <r>
      <rPr>
        <sz val="9"/>
        <color rgb="FF808080"/>
        <rFont val="Arial"/>
        <family val="0"/>
        <charset val="1"/>
      </rPr>
      <t xml:space="preserve">550</t>
    </r>
    <r>
      <rPr>
        <sz val="9"/>
        <color rgb="FF808080"/>
        <rFont val="WenQuanYi Zen Hei"/>
        <family val="2"/>
      </rPr>
      <t xml:space="preserve">〜</t>
    </r>
    <r>
      <rPr>
        <sz val="9"/>
        <color rgb="FF808080"/>
        <rFont val="Arial"/>
        <family val="0"/>
        <charset val="1"/>
      </rPr>
      <t xml:space="preserve">650</t>
    </r>
    <r>
      <rPr>
        <sz val="9"/>
        <color rgb="FF808080"/>
        <rFont val="WenQuanYi Zen Hei"/>
        <family val="2"/>
      </rPr>
      <t xml:space="preserve">万を月割</t>
    </r>
  </si>
  <si>
    <r>
      <rPr>
        <sz val="10"/>
        <rFont val="WenQuanYi Zen Hei"/>
        <family val="2"/>
      </rPr>
      <t xml:space="preserve">制作ディレクター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名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同上</t>
    </r>
    <r>
      <rPr>
        <sz val="10"/>
        <rFont val="Arial"/>
        <family val="0"/>
        <charset val="1"/>
      </rPr>
      <t xml:space="preserve">)</t>
    </r>
  </si>
  <si>
    <r>
      <rPr>
        <sz val="9"/>
        <color rgb="FF808080"/>
        <rFont val="WenQuanYi Zen Hei"/>
        <family val="2"/>
      </rPr>
      <t xml:space="preserve">実行可能版は</t>
    </r>
    <r>
      <rPr>
        <sz val="9"/>
        <color rgb="FF808080"/>
        <rFont val="Arial"/>
        <family val="0"/>
        <charset val="1"/>
      </rPr>
      <t xml:space="preserve">2027</t>
    </r>
    <r>
      <rPr>
        <sz val="9"/>
        <color rgb="FF808080"/>
        <rFont val="WenQuanYi Zen Hei"/>
        <family val="2"/>
      </rPr>
      <t xml:space="preserve">年</t>
    </r>
    <r>
      <rPr>
        <sz val="9"/>
        <color rgb="FF808080"/>
        <rFont val="Arial"/>
        <family val="0"/>
        <charset val="1"/>
      </rPr>
      <t xml:space="preserve">4</t>
    </r>
    <r>
      <rPr>
        <sz val="9"/>
        <color rgb="FF808080"/>
        <rFont val="WenQuanYi Zen Hei"/>
        <family val="2"/>
      </rPr>
      <t xml:space="preserve">月採用。それまで代表が兼務</t>
    </r>
  </si>
  <si>
    <t xml:space="preserve">レンタルオフィス</t>
  </si>
  <si>
    <t xml:space="preserve">通信・水道光熱</t>
  </si>
  <si>
    <t xml:space="preserve">会計・税務顧問</t>
  </si>
  <si>
    <t xml:space="preserve">国際税務が絡むと上がる</t>
  </si>
  <si>
    <t xml:space="preserve">給与計算・労務</t>
  </si>
  <si>
    <r>
      <rPr>
        <sz val="10"/>
        <rFont val="WenQuanYi Zen Hei"/>
        <family val="2"/>
      </rPr>
      <t xml:space="preserve">クラウド・</t>
    </r>
    <r>
      <rPr>
        <sz val="10"/>
        <rFont val="Arial"/>
        <family val="0"/>
        <charset val="1"/>
      </rPr>
      <t xml:space="preserve">SaaS</t>
    </r>
  </si>
  <si>
    <r>
      <rPr>
        <sz val="10"/>
        <rFont val="Arial"/>
        <family val="0"/>
        <charset val="1"/>
      </rPr>
      <t xml:space="preserve">AI API </t>
    </r>
    <r>
      <rPr>
        <sz val="10"/>
        <rFont val="WenQuanYi Zen Hei"/>
        <family val="2"/>
      </rPr>
      <t xml:space="preserve">利用料</t>
    </r>
  </si>
  <si>
    <t xml:space="preserve">案件数に応じて増える</t>
  </si>
  <si>
    <t xml:space="preserve">ストレージ・データ転送</t>
  </si>
  <si>
    <r>
      <rPr>
        <sz val="9"/>
        <color rgb="FF808080"/>
        <rFont val="WenQuanYi Zen Hei"/>
        <family val="2"/>
      </rPr>
      <t xml:space="preserve">映像は重い。想定の</t>
    </r>
    <r>
      <rPr>
        <sz val="9"/>
        <color rgb="FF808080"/>
        <rFont val="Arial"/>
        <family val="0"/>
        <charset val="1"/>
      </rPr>
      <t xml:space="preserve">2</t>
    </r>
    <r>
      <rPr>
        <sz val="9"/>
        <color rgb="FF808080"/>
        <rFont val="WenQuanYi Zen Hei"/>
        <family val="2"/>
      </rPr>
      <t xml:space="preserve">〜</t>
    </r>
    <r>
      <rPr>
        <sz val="9"/>
        <color rgb="FF808080"/>
        <rFont val="Arial"/>
        <family val="0"/>
        <charset val="1"/>
      </rPr>
      <t xml:space="preserve">3</t>
    </r>
    <r>
      <rPr>
        <sz val="9"/>
        <color rgb="FF808080"/>
        <rFont val="WenQuanYi Zen Hei"/>
        <family val="2"/>
      </rPr>
      <t xml:space="preserve">倍になりやすい</t>
    </r>
  </si>
  <si>
    <t xml:space="preserve">営業活動費</t>
  </si>
  <si>
    <t xml:space="preserve">送金手数料</t>
  </si>
  <si>
    <r>
      <rPr>
        <sz val="9"/>
        <color rgb="FF808080"/>
        <rFont val="WenQuanYi Zen Hei"/>
        <family val="2"/>
      </rPr>
      <t xml:space="preserve">月</t>
    </r>
    <r>
      <rPr>
        <sz val="9"/>
        <color rgb="FF808080"/>
        <rFont val="Arial"/>
        <family val="0"/>
        <charset val="1"/>
      </rPr>
      <t xml:space="preserve">2</t>
    </r>
    <r>
      <rPr>
        <sz val="9"/>
        <color rgb="FF808080"/>
        <rFont val="WenQuanYi Zen Hei"/>
        <family val="2"/>
      </rPr>
      <t xml:space="preserve">回の締めで一括処理する前提</t>
    </r>
  </si>
  <si>
    <t xml:space="preserve">損害賠償責任保険</t>
  </si>
  <si>
    <r>
      <rPr>
        <sz val="10"/>
        <rFont val="WenQuanYi Zen Hei"/>
        <family val="2"/>
      </rPr>
      <t xml:space="preserve">自社チャンネル投資</t>
    </r>
    <r>
      <rPr>
        <sz val="10"/>
        <rFont val="Arial"/>
        <family val="0"/>
        <charset val="1"/>
      </rPr>
      <t xml:space="preserve">(P2: </t>
    </r>
    <r>
      <rPr>
        <sz val="10"/>
        <rFont val="WenQuanYi Zen Hei"/>
        <family val="2"/>
      </rPr>
      <t xml:space="preserve">月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本</t>
    </r>
    <r>
      <rPr>
        <sz val="10"/>
        <rFont val="Arial"/>
        <family val="0"/>
        <charset val="1"/>
      </rPr>
      <t xml:space="preserve">)</t>
    </r>
  </si>
  <si>
    <r>
      <rPr>
        <sz val="9"/>
        <color rgb="FF808080"/>
        <rFont val="Arial"/>
        <family val="0"/>
        <charset val="1"/>
      </rPr>
      <t xml:space="preserve">2027</t>
    </r>
    <r>
      <rPr>
        <sz val="9"/>
        <color rgb="FF808080"/>
        <rFont val="WenQuanYi Zen Hei"/>
        <family val="2"/>
      </rPr>
      <t xml:space="preserve">年</t>
    </r>
    <r>
      <rPr>
        <sz val="9"/>
        <color rgb="FF808080"/>
        <rFont val="Arial"/>
        <family val="0"/>
        <charset val="1"/>
      </rPr>
      <t xml:space="preserve">1</t>
    </r>
    <r>
      <rPr>
        <sz val="9"/>
        <color rgb="FF808080"/>
        <rFont val="WenQuanYi Zen Hei"/>
        <family val="2"/>
      </rPr>
      <t xml:space="preserve">月開始。営業実績づくり </t>
    </r>
    <r>
      <rPr>
        <sz val="9"/>
        <color rgb="FF808080"/>
        <rFont val="Arial"/>
        <family val="0"/>
        <charset val="1"/>
      </rPr>
      <t xml:space="preserve">+ </t>
    </r>
    <r>
      <rPr>
        <sz val="9"/>
        <color rgb="FF808080"/>
        <rFont val="WenQuanYi Zen Hei"/>
        <family val="2"/>
      </rPr>
      <t xml:space="preserve">市場反応データ</t>
    </r>
    <r>
      <rPr>
        <sz val="9"/>
        <color rgb="FF808080"/>
        <rFont val="Arial"/>
        <family val="0"/>
        <charset val="1"/>
      </rPr>
      <t xml:space="preserve">(PLATFORM_REVENUE.md)</t>
    </r>
  </si>
  <si>
    <r>
      <rPr>
        <sz val="10"/>
        <rFont val="WenQuanYi Zen Hei"/>
        <family val="2"/>
      </rPr>
      <t xml:space="preserve">自社チャンネル投資</t>
    </r>
    <r>
      <rPr>
        <sz val="10"/>
        <rFont val="Arial"/>
        <family val="0"/>
        <charset val="1"/>
      </rPr>
      <t xml:space="preserve">(P3</t>
    </r>
    <r>
      <rPr>
        <sz val="10"/>
        <rFont val="WenQuanYi Zen Hei"/>
        <family val="2"/>
      </rPr>
      <t xml:space="preserve">拡大分</t>
    </r>
    <r>
      <rPr>
        <sz val="10"/>
        <rFont val="Arial"/>
        <family val="0"/>
        <charset val="1"/>
      </rPr>
      <t xml:space="preserve">)</t>
    </r>
  </si>
  <si>
    <r>
      <rPr>
        <sz val="9"/>
        <color rgb="FF808080"/>
        <rFont val="Arial"/>
        <family val="0"/>
        <charset val="1"/>
      </rPr>
      <t xml:space="preserve">2027</t>
    </r>
    <r>
      <rPr>
        <sz val="9"/>
        <color rgb="FF808080"/>
        <rFont val="WenQuanYi Zen Hei"/>
        <family val="2"/>
      </rPr>
      <t xml:space="preserve">年</t>
    </r>
    <r>
      <rPr>
        <sz val="9"/>
        <color rgb="FF808080"/>
        <rFont val="Arial"/>
        <family val="0"/>
        <charset val="1"/>
      </rPr>
      <t xml:space="preserve">4</t>
    </r>
    <r>
      <rPr>
        <sz val="9"/>
        <color rgb="FF808080"/>
        <rFont val="WenQuanYi Zen Hei"/>
        <family val="2"/>
      </rPr>
      <t xml:space="preserve">月に月</t>
    </r>
    <r>
      <rPr>
        <sz val="9"/>
        <color rgb="FF808080"/>
        <rFont val="Arial"/>
        <family val="0"/>
        <charset val="1"/>
      </rPr>
      <t xml:space="preserve">20</t>
    </r>
    <r>
      <rPr>
        <sz val="9"/>
        <color rgb="FF808080"/>
        <rFont val="WenQuanYi Zen Hei"/>
        <family val="2"/>
      </rPr>
      <t xml:space="preserve">本へ拡大。上記と合わせて月</t>
    </r>
    <r>
      <rPr>
        <sz val="9"/>
        <color rgb="FF808080"/>
        <rFont val="Arial"/>
        <family val="0"/>
        <charset val="1"/>
      </rPr>
      <t xml:space="preserve">45</t>
    </r>
    <r>
      <rPr>
        <sz val="9"/>
        <color rgb="FF808080"/>
        <rFont val="WenQuanYi Zen Hei"/>
        <family val="2"/>
      </rPr>
      <t xml:space="preserve">万になる</t>
    </r>
  </si>
  <si>
    <t xml:space="preserve">フル体制での月次固定費</t>
  </si>
  <si>
    <t xml:space="preserve">損益分岐 月商</t>
  </si>
  <si>
    <r>
      <rPr>
        <sz val="9"/>
        <color rgb="FF808080"/>
        <rFont val="WenQuanYi Zen Hei"/>
        <family val="2"/>
      </rPr>
      <t xml:space="preserve">フル体制の固定費 </t>
    </r>
    <r>
      <rPr>
        <sz val="9"/>
        <color rgb="FF808080"/>
        <rFont val="Arial"/>
        <family val="0"/>
        <charset val="1"/>
      </rPr>
      <t xml:space="preserve">÷ </t>
    </r>
    <r>
      <rPr>
        <sz val="9"/>
        <color rgb="FF808080"/>
        <rFont val="WenQuanYi Zen Hei"/>
        <family val="2"/>
      </rPr>
      <t xml:space="preserve">粗利率</t>
    </r>
  </si>
  <si>
    <t xml:space="preserve">損益分岐 月間本数</t>
  </si>
  <si>
    <r>
      <rPr>
        <sz val="9"/>
        <color rgb="FF808080"/>
        <rFont val="WenQuanYi Zen Hei"/>
        <family val="2"/>
      </rPr>
      <t xml:space="preserve">損益分岐月商 </t>
    </r>
    <r>
      <rPr>
        <sz val="9"/>
        <color rgb="FF808080"/>
        <rFont val="Arial"/>
        <family val="0"/>
        <charset val="1"/>
      </rPr>
      <t xml:space="preserve">÷ </t>
    </r>
    <r>
      <rPr>
        <sz val="9"/>
        <color rgb="FF808080"/>
        <rFont val="WenQuanYi Zen Hei"/>
        <family val="2"/>
      </rPr>
      <t xml:space="preserve">平均単価</t>
    </r>
  </si>
  <si>
    <t xml:space="preserve">うち 自社チャンネル投資</t>
  </si>
  <si>
    <t xml:space="preserve">営業のための投資。上の損益分岐にはこれも含まれています</t>
  </si>
  <si>
    <r>
      <rPr>
        <b val="true"/>
        <sz val="10"/>
        <rFont val="WenQuanYi Zen Hei"/>
        <family val="2"/>
      </rPr>
      <t xml:space="preserve">損益分岐 月間本数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チャンネル投資を除く</t>
    </r>
    <r>
      <rPr>
        <b val="true"/>
        <sz val="10"/>
        <rFont val="Arial"/>
        <family val="0"/>
        <charset val="1"/>
      </rPr>
      <t xml:space="preserve">)</t>
    </r>
  </si>
  <si>
    <t xml:space="preserve">チャンネルを止めた場合の損益分岐。撤退判断のときに見る数字</t>
  </si>
  <si>
    <r>
      <rPr>
        <b val="true"/>
        <sz val="14"/>
        <rFont val="Arial"/>
        <family val="0"/>
        <charset val="1"/>
      </rPr>
      <t xml:space="preserve">C. </t>
    </r>
    <r>
      <rPr>
        <b val="true"/>
        <sz val="14"/>
        <rFont val="WenQuanYi Zen Hei"/>
        <family val="2"/>
      </rPr>
      <t xml:space="preserve">月次資金繰り</t>
    </r>
    <r>
      <rPr>
        <b val="true"/>
        <sz val="14"/>
        <rFont val="Arial"/>
        <family val="0"/>
        <charset val="1"/>
      </rPr>
      <t xml:space="preserve">(1</t>
    </r>
    <r>
      <rPr>
        <b val="true"/>
        <sz val="14"/>
        <rFont val="WenQuanYi Zen Hei"/>
        <family val="2"/>
      </rPr>
      <t xml:space="preserve">年目</t>
    </r>
    <r>
      <rPr>
        <b val="true"/>
        <sz val="14"/>
        <rFont val="Arial"/>
        <family val="0"/>
        <charset val="1"/>
      </rPr>
      <t xml:space="preserve">)</t>
    </r>
  </si>
  <si>
    <r>
      <rPr>
        <sz val="9"/>
        <color rgb="FF808080"/>
        <rFont val="WenQuanYi Zen Hei"/>
        <family val="2"/>
      </rPr>
      <t xml:space="preserve">単位</t>
    </r>
    <r>
      <rPr>
        <sz val="9"/>
        <color rgb="FF808080"/>
        <rFont val="Arial"/>
        <family val="0"/>
        <charset val="1"/>
      </rPr>
      <t xml:space="preserve">: </t>
    </r>
    <r>
      <rPr>
        <sz val="9"/>
        <color rgb="FF808080"/>
        <rFont val="WenQuanYi Zen Hei"/>
        <family val="2"/>
      </rPr>
      <t xml:space="preserve">万円 </t>
    </r>
    <r>
      <rPr>
        <sz val="9"/>
        <color rgb="FF808080"/>
        <rFont val="Arial"/>
        <family val="0"/>
        <charset val="1"/>
      </rPr>
      <t xml:space="preserve">/ </t>
    </r>
    <r>
      <rPr>
        <sz val="9"/>
        <color rgb="FF808080"/>
        <rFont val="WenQuanYi Zen Hei"/>
        <family val="2"/>
      </rPr>
      <t xml:space="preserve">受注本数</t>
    </r>
    <r>
      <rPr>
        <sz val="9"/>
        <color rgb="FF808080"/>
        <rFont val="Arial"/>
        <family val="0"/>
        <charset val="1"/>
      </rPr>
      <t xml:space="preserve">(6</t>
    </r>
    <r>
      <rPr>
        <sz val="9"/>
        <color rgb="FF808080"/>
        <rFont val="WenQuanYi Zen Hei"/>
        <family val="2"/>
      </rPr>
      <t xml:space="preserve">行目</t>
    </r>
    <r>
      <rPr>
        <sz val="9"/>
        <color rgb="FF808080"/>
        <rFont val="Arial"/>
        <family val="0"/>
        <charset val="1"/>
      </rPr>
      <t xml:space="preserve">)</t>
    </r>
    <r>
      <rPr>
        <sz val="9"/>
        <color rgb="FF808080"/>
        <rFont val="WenQuanYi Zen Hei"/>
        <family val="2"/>
      </rPr>
      <t xml:space="preserve">を書き換えると全体が動きます</t>
    </r>
  </si>
  <si>
    <t xml:space="preserve">月</t>
  </si>
  <si>
    <t xml:space="preserve">年月</t>
  </si>
  <si>
    <t xml:space="preserve">2026/10</t>
  </si>
  <si>
    <t xml:space="preserve">2026/11</t>
  </si>
  <si>
    <t xml:space="preserve">2026/12</t>
  </si>
  <si>
    <t xml:space="preserve">2027/1</t>
  </si>
  <si>
    <t xml:space="preserve">2027/2</t>
  </si>
  <si>
    <t xml:space="preserve">2027/3</t>
  </si>
  <si>
    <t xml:space="preserve">2027/4</t>
  </si>
  <si>
    <t xml:space="preserve">2027/5</t>
  </si>
  <si>
    <t xml:space="preserve">2027/6</t>
  </si>
  <si>
    <t xml:space="preserve">2027/7</t>
  </si>
  <si>
    <t xml:space="preserve">2027/8</t>
  </si>
  <si>
    <t xml:space="preserve">2027/9</t>
  </si>
  <si>
    <t xml:space="preserve">受注・納品本数</t>
  </si>
  <si>
    <t xml:space="preserve">← 青字・黄色。ここが最上位のドライバー</t>
  </si>
  <si>
    <t xml:space="preserve">売上高</t>
  </si>
  <si>
    <r>
      <rPr>
        <sz val="10"/>
        <rFont val="WenQuanYi Zen Hei"/>
        <family val="2"/>
      </rPr>
      <t xml:space="preserve">入金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売上・翌月末</t>
    </r>
    <r>
      <rPr>
        <sz val="10"/>
        <rFont val="Arial"/>
        <family val="0"/>
        <charset val="1"/>
      </rPr>
      <t xml:space="preserve">)</t>
    </r>
  </si>
  <si>
    <t xml:space="preserve">資本金の払込</t>
  </si>
  <si>
    <t xml:space="preserve">融資の着金</t>
  </si>
  <si>
    <t xml:space="preserve">入金 合計</t>
  </si>
  <si>
    <t xml:space="preserve">初期費用</t>
  </si>
  <si>
    <t xml:space="preserve">月次固定費</t>
  </si>
  <si>
    <r>
      <rPr>
        <sz val="10"/>
        <rFont val="WenQuanYi Zen Hei"/>
        <family val="2"/>
      </rPr>
      <t xml:space="preserve">変動費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制作原価</t>
    </r>
    <r>
      <rPr>
        <sz val="10"/>
        <rFont val="Arial"/>
        <family val="0"/>
        <charset val="1"/>
      </rPr>
      <t xml:space="preserve">)</t>
    </r>
  </si>
  <si>
    <t xml:space="preserve">支払利息</t>
  </si>
  <si>
    <t xml:space="preserve">支出 合計</t>
  </si>
  <si>
    <t xml:space="preserve">月次収支</t>
  </si>
  <si>
    <t xml:space="preserve">月末残高</t>
  </si>
  <si>
    <t xml:space="preserve">最低残高</t>
  </si>
  <si>
    <t xml:space="preserve">最低残高の月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</si>
  <si>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年目の受注 合計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</si>
  <si>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年目の売上 合計</t>
    </r>
  </si>
  <si>
    <r>
      <rPr>
        <b val="true"/>
        <sz val="14"/>
        <rFont val="Arial"/>
        <family val="0"/>
        <charset val="1"/>
      </rPr>
      <t xml:space="preserve">D. </t>
    </r>
    <r>
      <rPr>
        <b val="true"/>
        <sz val="14"/>
        <rFont val="WenQuanYi Zen Hei"/>
        <family val="2"/>
      </rPr>
      <t xml:space="preserve">必要調達額</t>
    </r>
  </si>
  <si>
    <r>
      <rPr>
        <sz val="9"/>
        <color rgb="FF808080"/>
        <rFont val="WenQuanYi Zen Hei"/>
        <family val="2"/>
      </rPr>
      <t xml:space="preserve">単位</t>
    </r>
    <r>
      <rPr>
        <sz val="9"/>
        <color rgb="FF808080"/>
        <rFont val="Arial"/>
        <family val="0"/>
        <charset val="1"/>
      </rPr>
      <t xml:space="preserve">: </t>
    </r>
    <r>
      <rPr>
        <sz val="9"/>
        <color rgb="FF808080"/>
        <rFont val="WenQuanYi Zen Hei"/>
        <family val="2"/>
      </rPr>
      <t xml:space="preserve">万円</t>
    </r>
  </si>
  <si>
    <r>
      <rPr>
        <sz val="10"/>
        <rFont val="WenQuanYi Zen Hei"/>
        <family val="2"/>
      </rPr>
      <t xml:space="preserve">初期費用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予備費込み</t>
    </r>
    <r>
      <rPr>
        <sz val="10"/>
        <rFont val="Arial"/>
        <family val="0"/>
        <charset val="1"/>
      </rPr>
      <t xml:space="preserve">)</t>
    </r>
  </si>
  <si>
    <t xml:space="preserve">選択シナリオ</t>
  </si>
  <si>
    <t xml:space="preserve">フル体制の月次固定費</t>
  </si>
  <si>
    <r>
      <rPr>
        <sz val="10"/>
        <rFont val="WenQuanYi Zen Hei"/>
        <family val="2"/>
      </rPr>
      <t xml:space="preserve">現在の調達額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資本金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融資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</si>
  <si>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年目の最低残高</t>
    </r>
  </si>
  <si>
    <t xml:space="preserve">マイナスなら資金が尽きる</t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</si>
  <si>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年目末の残高</t>
    </r>
  </si>
  <si>
    <r>
      <rPr>
        <sz val="10"/>
        <rFont val="WenQuanYi Zen Hei"/>
        <family val="2"/>
      </rPr>
      <t xml:space="preserve">目標バッファ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固定費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月数</t>
    </r>
    <r>
      <rPr>
        <sz val="10"/>
        <rFont val="Arial"/>
        <family val="0"/>
        <charset val="1"/>
      </rPr>
      <t xml:space="preserve">)</t>
    </r>
  </si>
  <si>
    <r>
      <rPr>
        <sz val="9"/>
        <color rgb="FF808080"/>
        <rFont val="Arial"/>
        <family val="0"/>
        <charset val="1"/>
      </rPr>
      <t xml:space="preserve">1</t>
    </r>
    <r>
      <rPr>
        <sz val="9"/>
        <color rgb="FF808080"/>
        <rFont val="WenQuanYi Zen Hei"/>
        <family val="2"/>
      </rPr>
      <t xml:space="preserve">年目末に残したい額</t>
    </r>
  </si>
  <si>
    <t xml:space="preserve">追加で必要な調達</t>
  </si>
  <si>
    <t xml:space="preserve">最低残高を目標バッファまで引き上げる額</t>
  </si>
  <si>
    <t xml:space="preserve">推奨する調達総額</t>
  </si>
  <si>
    <r>
      <rPr>
        <sz val="9"/>
        <color rgb="FF808080"/>
        <rFont val="WenQuanYi Zen Hei"/>
        <family val="2"/>
      </rPr>
      <t xml:space="preserve">現在の調達 </t>
    </r>
    <r>
      <rPr>
        <sz val="9"/>
        <color rgb="FF808080"/>
        <rFont val="Arial"/>
        <family val="0"/>
        <charset val="1"/>
      </rPr>
      <t xml:space="preserve">+ </t>
    </r>
    <r>
      <rPr>
        <sz val="9"/>
        <color rgb="FF808080"/>
        <rFont val="WenQuanYi Zen Hei"/>
        <family val="2"/>
      </rPr>
      <t xml:space="preserve">追加</t>
    </r>
  </si>
  <si>
    <t xml:space="preserve">読み方</t>
  </si>
  <si>
    <r>
      <rPr>
        <sz val="9"/>
        <color rgb="FF808080"/>
        <rFont val="Arial"/>
        <family val="0"/>
        <charset val="1"/>
      </rPr>
      <t xml:space="preserve">1. </t>
    </r>
    <r>
      <rPr>
        <sz val="9"/>
        <color rgb="FF808080"/>
        <rFont val="WenQuanYi Zen Hei"/>
        <family val="2"/>
      </rPr>
      <t xml:space="preserve">『前提』</t>
    </r>
    <r>
      <rPr>
        <sz val="9"/>
        <color rgb="FF808080"/>
        <rFont val="Arial"/>
        <family val="0"/>
        <charset val="1"/>
      </rPr>
      <t xml:space="preserve">B11 </t>
    </r>
    <r>
      <rPr>
        <sz val="9"/>
        <color rgb="FF808080"/>
        <rFont val="WenQuanYi Zen Hei"/>
        <family val="2"/>
      </rPr>
      <t xml:space="preserve">でシナリオを切り替える</t>
    </r>
    <r>
      <rPr>
        <sz val="9"/>
        <color rgb="FF808080"/>
        <rFont val="Arial"/>
        <family val="0"/>
        <charset val="1"/>
      </rPr>
      <t xml:space="preserve">(1=</t>
    </r>
    <r>
      <rPr>
        <sz val="9"/>
        <color rgb="FF808080"/>
        <rFont val="WenQuanYi Zen Hei"/>
        <family val="2"/>
      </rPr>
      <t xml:space="preserve">楽観 </t>
    </r>
    <r>
      <rPr>
        <sz val="9"/>
        <color rgb="FF808080"/>
        <rFont val="Arial"/>
        <family val="0"/>
        <charset val="1"/>
      </rPr>
      <t xml:space="preserve">/ 2=</t>
    </r>
    <r>
      <rPr>
        <sz val="9"/>
        <color rgb="FF808080"/>
        <rFont val="WenQuanYi Zen Hei"/>
        <family val="2"/>
      </rPr>
      <t xml:space="preserve">標準 </t>
    </r>
    <r>
      <rPr>
        <sz val="9"/>
        <color rgb="FF808080"/>
        <rFont val="Arial"/>
        <family val="0"/>
        <charset val="1"/>
      </rPr>
      <t xml:space="preserve">/ 3=</t>
    </r>
    <r>
      <rPr>
        <sz val="9"/>
        <color rgb="FF808080"/>
        <rFont val="WenQuanYi Zen Hei"/>
        <family val="2"/>
      </rPr>
      <t xml:space="preserve">実行可能版</t>
    </r>
    <r>
      <rPr>
        <sz val="9"/>
        <color rgb="FF808080"/>
        <rFont val="Arial"/>
        <family val="0"/>
        <charset val="1"/>
      </rPr>
      <t xml:space="preserve">)</t>
    </r>
  </si>
  <si>
    <r>
      <rPr>
        <sz val="9"/>
        <color rgb="FF808080"/>
        <rFont val="Arial"/>
        <family val="0"/>
        <charset val="1"/>
      </rPr>
      <t xml:space="preserve">2. </t>
    </r>
    <r>
      <rPr>
        <sz val="9"/>
        <color rgb="FF808080"/>
        <rFont val="WenQuanYi Zen Hei"/>
        <family val="2"/>
      </rPr>
      <t xml:space="preserve">『資金繰り』</t>
    </r>
    <r>
      <rPr>
        <sz val="9"/>
        <color rgb="FF808080"/>
        <rFont val="Arial"/>
        <family val="0"/>
        <charset val="1"/>
      </rPr>
      <t xml:space="preserve">6</t>
    </r>
    <r>
      <rPr>
        <sz val="9"/>
        <color rgb="FF808080"/>
        <rFont val="WenQuanYi Zen Hei"/>
        <family val="2"/>
      </rPr>
      <t xml:space="preserve">行目の受注本数を、自分の見込みに書き換える</t>
    </r>
  </si>
  <si>
    <r>
      <rPr>
        <sz val="9"/>
        <color rgb="FF808080"/>
        <rFont val="Arial"/>
        <family val="0"/>
        <charset val="1"/>
      </rPr>
      <t xml:space="preserve">3. </t>
    </r>
    <r>
      <rPr>
        <sz val="9"/>
        <color rgb="FF808080"/>
        <rFont val="WenQuanYi Zen Hei"/>
        <family val="2"/>
      </rPr>
      <t xml:space="preserve">『必要調達』の「推奨する調達総額」を見る。ここが今の調達額を超えていれば足りない</t>
    </r>
  </si>
  <si>
    <r>
      <rPr>
        <sz val="9"/>
        <color rgb="FF808080"/>
        <rFont val="Arial"/>
        <family val="0"/>
        <charset val="1"/>
      </rPr>
      <t xml:space="preserve">4. </t>
    </r>
    <r>
      <rPr>
        <sz val="9"/>
        <color rgb="FF808080"/>
        <rFont val="WenQuanYi Zen Hei"/>
        <family val="2"/>
      </rPr>
      <t xml:space="preserve">最低残高がマイナスなら、その月に資金が尽きる。採用の開始月</t>
    </r>
    <r>
      <rPr>
        <sz val="9"/>
        <color rgb="FF808080"/>
        <rFont val="Arial"/>
        <family val="0"/>
        <charset val="1"/>
      </rPr>
      <t xml:space="preserve">(</t>
    </r>
    <r>
      <rPr>
        <sz val="9"/>
        <color rgb="FF808080"/>
        <rFont val="WenQuanYi Zen Hei"/>
        <family val="2"/>
      </rPr>
      <t xml:space="preserve">『月次固定費』</t>
    </r>
    <r>
      <rPr>
        <sz val="9"/>
        <color rgb="FF808080"/>
        <rFont val="Arial"/>
        <family val="0"/>
        <charset val="1"/>
      </rPr>
      <t xml:space="preserve">B</t>
    </r>
    <r>
      <rPr>
        <sz val="9"/>
        <color rgb="FF808080"/>
        <rFont val="WenQuanYi Zen Hei"/>
        <family val="2"/>
      </rPr>
      <t xml:space="preserve">列</t>
    </r>
    <r>
      <rPr>
        <sz val="9"/>
        <color rgb="FF808080"/>
        <rFont val="Arial"/>
        <family val="0"/>
        <charset val="1"/>
      </rPr>
      <t xml:space="preserve">)</t>
    </r>
    <r>
      <rPr>
        <sz val="9"/>
        <color rgb="FF808080"/>
        <rFont val="WenQuanYi Zen Hei"/>
        <family val="2"/>
      </rPr>
      <t xml:space="preserve">を後ろに倒して調整する</t>
    </r>
  </si>
  <si>
    <r>
      <rPr>
        <sz val="9"/>
        <color rgb="FF808080"/>
        <rFont val="WenQuanYi Zen Hei"/>
        <family val="2"/>
      </rPr>
      <t xml:space="preserve">※ このモデルは</t>
    </r>
    <r>
      <rPr>
        <sz val="9"/>
        <color rgb="FF808080"/>
        <rFont val="Arial"/>
        <family val="0"/>
        <charset val="1"/>
      </rPr>
      <t xml:space="preserve">1</t>
    </r>
    <r>
      <rPr>
        <sz val="9"/>
        <color rgb="FF808080"/>
        <rFont val="WenQuanYi Zen Hei"/>
        <family val="2"/>
      </rPr>
      <t xml:space="preserve">年目のみ。</t>
    </r>
    <r>
      <rPr>
        <sz val="9"/>
        <color rgb="FF808080"/>
        <rFont val="Arial"/>
        <family val="0"/>
        <charset val="1"/>
      </rPr>
      <t xml:space="preserve">2</t>
    </r>
    <r>
      <rPr>
        <sz val="9"/>
        <color rgb="FF808080"/>
        <rFont val="WenQuanYi Zen Hei"/>
        <family val="2"/>
      </rPr>
      <t xml:space="preserve">年目以降は『年次</t>
    </r>
    <r>
      <rPr>
        <sz val="9"/>
        <color rgb="FF808080"/>
        <rFont val="Arial"/>
        <family val="0"/>
        <charset val="1"/>
      </rPr>
      <t xml:space="preserve">PL</t>
    </r>
    <r>
      <rPr>
        <sz val="9"/>
        <color rgb="FF808080"/>
        <rFont val="WenQuanYi Zen Hei"/>
        <family val="2"/>
      </rPr>
      <t xml:space="preserve">』シート。</t>
    </r>
  </si>
  <si>
    <r>
      <rPr>
        <sz val="9"/>
        <color rgb="FF808080"/>
        <rFont val="WenQuanYi Zen Hei"/>
        <family val="2"/>
      </rPr>
      <t xml:space="preserve">※ 消費税</t>
    </r>
    <r>
      <rPr>
        <sz val="9"/>
        <color rgb="FF808080"/>
        <rFont val="Arial"/>
        <family val="0"/>
        <charset val="1"/>
      </rPr>
      <t xml:space="preserve">(</t>
    </r>
    <r>
      <rPr>
        <sz val="9"/>
        <color rgb="FF808080"/>
        <rFont val="WenQuanYi Zen Hei"/>
        <family val="2"/>
      </rPr>
      <t xml:space="preserve">海外発注は仕入税額控除が取れない可能性</t>
    </r>
    <r>
      <rPr>
        <sz val="9"/>
        <color rgb="FF808080"/>
        <rFont val="Arial"/>
        <family val="0"/>
        <charset val="1"/>
      </rPr>
      <t xml:space="preserve">)</t>
    </r>
    <r>
      <rPr>
        <sz val="9"/>
        <color rgb="FF808080"/>
        <rFont val="WenQuanYi Zen Hei"/>
        <family val="2"/>
      </rPr>
      <t xml:space="preserve">は未反映。税理士の確認後に原価へ上乗せしてください。</t>
    </r>
  </si>
  <si>
    <r>
      <rPr>
        <b val="true"/>
        <sz val="14"/>
        <rFont val="Arial"/>
        <family val="0"/>
        <charset val="1"/>
      </rPr>
      <t xml:space="preserve">E. 5</t>
    </r>
    <r>
      <rPr>
        <b val="true"/>
        <sz val="14"/>
        <rFont val="WenQuanYi Zen Hei"/>
        <family val="2"/>
      </rPr>
      <t xml:space="preserve">年の損益計画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保守版</t>
    </r>
    <r>
      <rPr>
        <b val="true"/>
        <sz val="14"/>
        <rFont val="Arial"/>
        <family val="0"/>
        <charset val="1"/>
      </rPr>
      <t xml:space="preserve">)</t>
    </r>
  </si>
  <si>
    <r>
      <rPr>
        <sz val="9"/>
        <color rgb="FF808080"/>
        <rFont val="WenQuanYi Zen Hei"/>
        <family val="2"/>
      </rPr>
      <t xml:space="preserve">単位</t>
    </r>
    <r>
      <rPr>
        <sz val="9"/>
        <color rgb="FF808080"/>
        <rFont val="Arial"/>
        <family val="0"/>
        <charset val="1"/>
      </rPr>
      <t xml:space="preserve">: </t>
    </r>
    <r>
      <rPr>
        <sz val="9"/>
        <color rgb="FF808080"/>
        <rFont val="WenQuanYi Zen Hei"/>
        <family val="2"/>
      </rPr>
      <t xml:space="preserve">万円 </t>
    </r>
    <r>
      <rPr>
        <sz val="9"/>
        <color rgb="FF808080"/>
        <rFont val="Arial"/>
        <family val="0"/>
        <charset val="1"/>
      </rPr>
      <t xml:space="preserve">/ </t>
    </r>
    <r>
      <rPr>
        <sz val="9"/>
        <color rgb="FF808080"/>
        <rFont val="WenQuanYi Zen Hei"/>
        <family val="2"/>
      </rPr>
      <t xml:space="preserve">青字を書き換えると営業利益まで再計算されます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</si>
  <si>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年目
</t>
    </r>
    <r>
      <rPr>
        <b val="true"/>
        <sz val="10"/>
        <rFont val="Arial"/>
        <family val="0"/>
        <charset val="1"/>
      </rPr>
      <t xml:space="preserve">2026/10-2027/9</t>
    </r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</si>
  <si>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年目</t>
    </r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</si>
  <si>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年目</t>
    </r>
  </si>
  <si>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WenQuanYi Zen Hei"/>
        <family val="2"/>
      </rPr>
      <t xml:space="preserve">年目</t>
    </r>
  </si>
  <si>
    <r>
      <rPr>
        <b val="true"/>
        <sz val="10"/>
        <rFont val="Arial"/>
        <family val="0"/>
        <charset val="1"/>
      </rPr>
      <t xml:space="preserve">5</t>
    </r>
    <r>
      <rPr>
        <b val="true"/>
        <sz val="10"/>
        <rFont val="WenQuanYi Zen Hei"/>
        <family val="2"/>
      </rPr>
      <t xml:space="preserve">年目</t>
    </r>
  </si>
  <si>
    <t xml:space="preserve">受注本数</t>
  </si>
  <si>
    <t xml:space="preserve">平均単価</t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</si>
  <si>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本あたり原価</t>
    </r>
  </si>
  <si>
    <r>
      <rPr>
        <sz val="10"/>
        <rFont val="WenQuanYi Zen Hei"/>
        <family val="2"/>
      </rPr>
      <t xml:space="preserve">プロダクト売上</t>
    </r>
    <r>
      <rPr>
        <sz val="10"/>
        <rFont val="Arial"/>
        <family val="0"/>
        <charset val="1"/>
      </rPr>
      <t xml:space="preserve">(R4)</t>
    </r>
  </si>
  <si>
    <t xml:space="preserve">プロダクト原価率</t>
  </si>
  <si>
    <r>
      <rPr>
        <sz val="10"/>
        <rFont val="WenQuanYi Zen Hei"/>
        <family val="2"/>
      </rPr>
      <t xml:space="preserve">日本側の人員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期末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</si>
  <si>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人あたり人件費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年・法定福利込</t>
    </r>
    <r>
      <rPr>
        <sz val="10"/>
        <rFont val="Arial"/>
        <family val="0"/>
        <charset val="1"/>
      </rPr>
      <t xml:space="preserve">)</t>
    </r>
  </si>
  <si>
    <t xml:space="preserve">期中の平均在籍率</t>
  </si>
  <si>
    <t xml:space="preserve">その他の販管費</t>
  </si>
  <si>
    <t xml:space="preserve">受託売上</t>
  </si>
  <si>
    <t xml:space="preserve">プロダクト売上</t>
  </si>
  <si>
    <t xml:space="preserve">売上原価</t>
  </si>
  <si>
    <t xml:space="preserve">売上総利益</t>
  </si>
  <si>
    <t xml:space="preserve">人件費</t>
  </si>
  <si>
    <t xml:space="preserve">販管費 合計</t>
  </si>
  <si>
    <t xml:space="preserve">営業利益</t>
  </si>
  <si>
    <t xml:space="preserve">営業利益率</t>
  </si>
  <si>
    <t xml:space="preserve">プロダクト比率</t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</si>
  <si>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人あたり売上</t>
    </r>
  </si>
  <si>
    <r>
      <rPr>
        <sz val="9"/>
        <color rgb="FF808080"/>
        <rFont val="Arial"/>
        <family val="0"/>
        <charset val="1"/>
      </rPr>
      <t xml:space="preserve">※ 1</t>
    </r>
    <r>
      <rPr>
        <sz val="9"/>
        <color rgb="FF808080"/>
        <rFont val="WenQuanYi Zen Hei"/>
        <family val="2"/>
      </rPr>
      <t xml:space="preserve">年目は『資金繰り』シートの月次と整合させてください</t>
    </r>
    <r>
      <rPr>
        <sz val="9"/>
        <color rgb="FF808080"/>
        <rFont val="Arial"/>
        <family val="0"/>
        <charset val="1"/>
      </rPr>
      <t xml:space="preserve">(</t>
    </r>
    <r>
      <rPr>
        <sz val="9"/>
        <color rgb="FF808080"/>
        <rFont val="WenQuanYi Zen Hei"/>
        <family val="2"/>
      </rPr>
      <t xml:space="preserve">受注本数の合計</t>
    </r>
    <r>
      <rPr>
        <sz val="9"/>
        <color rgb="FF808080"/>
        <rFont val="Arial"/>
        <family val="0"/>
        <charset val="1"/>
      </rPr>
      <t xml:space="preserve">)</t>
    </r>
    <r>
      <rPr>
        <sz val="9"/>
        <color rgb="FF808080"/>
        <rFont val="WenQuanYi Zen Hei"/>
        <family val="2"/>
      </rPr>
      <t xml:space="preserve">。</t>
    </r>
  </si>
  <si>
    <r>
      <rPr>
        <sz val="9"/>
        <color rgb="FF808080"/>
        <rFont val="WenQuanYi Zen Hei"/>
        <family val="2"/>
      </rPr>
      <t xml:space="preserve">※ 消費税</t>
    </r>
    <r>
      <rPr>
        <sz val="9"/>
        <color rgb="FF808080"/>
        <rFont val="Arial"/>
        <family val="0"/>
        <charset val="1"/>
      </rPr>
      <t xml:space="preserve">(</t>
    </r>
    <r>
      <rPr>
        <sz val="9"/>
        <color rgb="FF808080"/>
        <rFont val="WenQuanYi Zen Hei"/>
        <family val="2"/>
      </rPr>
      <t xml:space="preserve">海外発注は仕入税額控除が取れない可能性</t>
    </r>
    <r>
      <rPr>
        <sz val="9"/>
        <color rgb="FF808080"/>
        <rFont val="Arial"/>
        <family val="0"/>
        <charset val="1"/>
      </rPr>
      <t xml:space="preserve">)</t>
    </r>
    <r>
      <rPr>
        <sz val="9"/>
        <color rgb="FF808080"/>
        <rFont val="WenQuanYi Zen Hei"/>
        <family val="2"/>
      </rPr>
      <t xml:space="preserve">は未反映。確定後に</t>
    </r>
    <r>
      <rPr>
        <sz val="9"/>
        <color rgb="FF808080"/>
        <rFont val="Arial"/>
        <family val="0"/>
        <charset val="1"/>
      </rPr>
      <t xml:space="preserve">1</t>
    </r>
    <r>
      <rPr>
        <sz val="9"/>
        <color rgb="FF808080"/>
        <rFont val="WenQuanYi Zen Hei"/>
        <family val="2"/>
      </rPr>
      <t xml:space="preserve">本あたり原価へ上乗せする。</t>
    </r>
  </si>
  <si>
    <t xml:space="preserve">※ 支払利息・法人税は未計上。営業利益までのモデル。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</si>
</sst>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0.0%"/>
    <numFmt numFmtId="167" formatCode="#,##0.0;\(#,##0.0\);\-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WenQuanYi Zen Hei"/>
      <family val="2"/>
    </font>
    <font>
      <sz val="9"/>
      <color rgb="FF808080"/>
      <name val="WenQuanYi Zen Hei"/>
      <family val="2"/>
    </font>
    <font>
      <sz val="9"/>
      <color rgb="FF808080"/>
      <name val="Arial"/>
      <family val="0"/>
      <charset val="1"/>
    </font>
    <font>
      <b val="true"/>
      <sz val="11"/>
      <name val="WenQuanYi Zen Hei"/>
      <family val="2"/>
    </font>
    <font>
      <sz val="10"/>
      <color rgb="FF0000FF"/>
      <name val="WenQuanYi Zen Hei"/>
      <family val="2"/>
    </font>
    <font>
      <sz val="10"/>
      <name val="WenQuanYi Zen Hei"/>
      <family val="2"/>
    </font>
    <font>
      <sz val="10"/>
      <color rgb="FF008000"/>
      <name val="WenQuanYi Zen Hei"/>
      <family val="2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WenQuanYi Zen Hei"/>
      <family val="2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3"/>
    <col collapsed="false" customWidth="true" hidden="false" outlineLevel="0" max="6" min="6" style="0" width="46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2" t="s">
        <v>4</v>
      </c>
    </row>
    <row r="6" customFormat="false" ht="15" hidden="false" customHeight="false" outlineLevel="0" collapsed="false">
      <c r="A6" s="5" t="s">
        <v>5</v>
      </c>
      <c r="B6" s="2" t="s">
        <v>6</v>
      </c>
    </row>
    <row r="7" customFormat="false" ht="15" hidden="false" customHeight="false" outlineLevel="0" collapsed="false">
      <c r="A7" s="6" t="s">
        <v>7</v>
      </c>
      <c r="B7" s="2" t="s">
        <v>8</v>
      </c>
    </row>
    <row r="8" customFormat="false" ht="15" hidden="false" customHeight="false" outlineLevel="0" collapsed="false">
      <c r="A8" s="7" t="s">
        <v>9</v>
      </c>
      <c r="B8" s="2" t="s">
        <v>10</v>
      </c>
    </row>
    <row r="10" customFormat="false" ht="15" hidden="false" customHeight="false" outlineLevel="0" collapsed="false">
      <c r="A10" s="3" t="s">
        <v>11</v>
      </c>
    </row>
    <row r="11" customFormat="false" ht="15" hidden="false" customHeight="false" outlineLevel="0" collapsed="false">
      <c r="A11" s="5" t="s">
        <v>12</v>
      </c>
      <c r="B11" s="8" t="n">
        <v>3</v>
      </c>
      <c r="C11" s="9" t="s">
        <v>13</v>
      </c>
    </row>
    <row r="13" customFormat="false" ht="15" hidden="false" customHeight="false" outlineLevel="0" collapsed="false">
      <c r="A13" s="3" t="s">
        <v>14</v>
      </c>
    </row>
    <row r="14" customFormat="false" ht="15" hidden="false" customHeight="false" outlineLevel="0" collapsed="false">
      <c r="A14" s="5" t="s">
        <v>15</v>
      </c>
      <c r="B14" s="10" t="n">
        <v>800</v>
      </c>
      <c r="C14" s="2" t="s">
        <v>16</v>
      </c>
    </row>
    <row r="15" customFormat="false" ht="15" hidden="false" customHeight="false" outlineLevel="0" collapsed="false">
      <c r="A15" s="5" t="s">
        <v>17</v>
      </c>
      <c r="B15" s="10" t="n">
        <v>2000</v>
      </c>
      <c r="C15" s="2" t="s">
        <v>18</v>
      </c>
    </row>
    <row r="16" customFormat="false" ht="15" hidden="false" customHeight="false" outlineLevel="0" collapsed="false">
      <c r="A16" s="5" t="s">
        <v>19</v>
      </c>
      <c r="B16" s="11" t="n">
        <v>2</v>
      </c>
      <c r="C16" s="2" t="s">
        <v>20</v>
      </c>
    </row>
    <row r="17" customFormat="false" ht="15" hidden="false" customHeight="false" outlineLevel="0" collapsed="false">
      <c r="A17" s="5" t="s">
        <v>21</v>
      </c>
      <c r="B17" s="12" t="n">
        <v>0.03</v>
      </c>
      <c r="C17" s="2" t="s">
        <v>22</v>
      </c>
    </row>
    <row r="18" customFormat="false" ht="15" hidden="false" customHeight="false" outlineLevel="0" collapsed="false">
      <c r="A18" s="5" t="s">
        <v>23</v>
      </c>
      <c r="B18" s="11" t="n">
        <v>3</v>
      </c>
      <c r="C18" s="9" t="s">
        <v>24</v>
      </c>
    </row>
    <row r="20" customFormat="false" ht="15" hidden="false" customHeight="false" outlineLevel="0" collapsed="false">
      <c r="A20" s="3" t="s">
        <v>25</v>
      </c>
    </row>
    <row r="21" customFormat="false" ht="15" hidden="false" customHeight="false" outlineLevel="0" collapsed="false">
      <c r="A21" s="5" t="s">
        <v>26</v>
      </c>
      <c r="B21" s="10" t="n">
        <v>48</v>
      </c>
      <c r="C21" s="2" t="s">
        <v>27</v>
      </c>
    </row>
    <row r="22" customFormat="false" ht="15" hidden="false" customHeight="false" outlineLevel="0" collapsed="false">
      <c r="A22" s="5" t="s">
        <v>28</v>
      </c>
      <c r="B22" s="10" t="n">
        <v>1</v>
      </c>
      <c r="C22" s="2" t="s">
        <v>29</v>
      </c>
    </row>
    <row r="23" customFormat="false" ht="15" hidden="false" customHeight="false" outlineLevel="0" collapsed="false">
      <c r="A23" s="5" t="s">
        <v>30</v>
      </c>
      <c r="B23" s="13" t="n">
        <v>0.15</v>
      </c>
      <c r="C23" s="2" t="s">
        <v>31</v>
      </c>
    </row>
    <row r="25" customFormat="false" ht="15" hidden="false" customHeight="false" outlineLevel="0" collapsed="false">
      <c r="A25" s="3" t="s">
        <v>32</v>
      </c>
    </row>
    <row r="26" customFormat="false" ht="15" hidden="false" customHeight="false" outlineLevel="0" collapsed="false">
      <c r="A26" s="14" t="s">
        <v>33</v>
      </c>
      <c r="B26" s="14" t="s">
        <v>34</v>
      </c>
      <c r="C26" s="14" t="s">
        <v>35</v>
      </c>
      <c r="D26" s="14" t="s">
        <v>36</v>
      </c>
      <c r="E26" s="14" t="s">
        <v>37</v>
      </c>
      <c r="F26" s="14" t="s">
        <v>38</v>
      </c>
    </row>
    <row r="27" customFormat="false" ht="15" hidden="false" customHeight="false" outlineLevel="0" collapsed="false">
      <c r="A27" s="5" t="s">
        <v>39</v>
      </c>
      <c r="B27" s="15" t="n">
        <v>12</v>
      </c>
      <c r="C27" s="15" t="n">
        <v>13</v>
      </c>
      <c r="D27" s="15" t="n">
        <v>13</v>
      </c>
      <c r="E27" s="16" t="n">
        <f aca="false">INDEX(B27:D27,$B$11)</f>
        <v>13</v>
      </c>
      <c r="F27" s="9" t="s">
        <v>40</v>
      </c>
    </row>
    <row r="28" customFormat="false" ht="15" hidden="false" customHeight="false" outlineLevel="0" collapsed="false">
      <c r="A28" s="5" t="s">
        <v>41</v>
      </c>
      <c r="B28" s="15" t="n">
        <v>3</v>
      </c>
      <c r="C28" s="15" t="n">
        <v>3</v>
      </c>
      <c r="D28" s="15" t="n">
        <v>3</v>
      </c>
      <c r="E28" s="16" t="n">
        <f aca="false">INDEX(B28:D28,$B$11)</f>
        <v>3</v>
      </c>
      <c r="F28" s="2" t="s">
        <v>42</v>
      </c>
    </row>
    <row r="29" customFormat="false" ht="15" hidden="false" customHeight="false" outlineLevel="0" collapsed="false">
      <c r="A29" s="17" t="s">
        <v>43</v>
      </c>
      <c r="B29" s="15" t="n">
        <v>1.5</v>
      </c>
      <c r="C29" s="15" t="n">
        <v>2</v>
      </c>
      <c r="D29" s="15" t="n">
        <v>2</v>
      </c>
      <c r="E29" s="16" t="n">
        <f aca="false">INDEX(B29:D29,$B$11)</f>
        <v>2</v>
      </c>
      <c r="F29" s="2" t="s">
        <v>44</v>
      </c>
    </row>
    <row r="30" customFormat="false" ht="15" hidden="false" customHeight="false" outlineLevel="0" collapsed="false">
      <c r="A30" s="5" t="s">
        <v>45</v>
      </c>
      <c r="B30" s="15" t="n">
        <v>0.5</v>
      </c>
      <c r="C30" s="15" t="n">
        <v>1</v>
      </c>
      <c r="D30" s="15" t="n">
        <v>1</v>
      </c>
      <c r="E30" s="16" t="n">
        <f aca="false">INDEX(B30:D30,$B$11)</f>
        <v>1</v>
      </c>
      <c r="F30" s="2" t="s">
        <v>46</v>
      </c>
    </row>
    <row r="31" customFormat="false" ht="15" hidden="false" customHeight="false" outlineLevel="0" collapsed="false">
      <c r="A31" s="5" t="s">
        <v>47</v>
      </c>
      <c r="B31" s="15" t="n">
        <v>1.5</v>
      </c>
      <c r="C31" s="15" t="n">
        <v>2</v>
      </c>
      <c r="D31" s="15" t="n">
        <v>2</v>
      </c>
      <c r="E31" s="16" t="n">
        <f aca="false">INDEX(B31:D31,$B$11)</f>
        <v>2</v>
      </c>
      <c r="F31" s="2" t="s">
        <v>48</v>
      </c>
    </row>
    <row r="32" customFormat="false" ht="15" hidden="false" customHeight="false" outlineLevel="0" collapsed="false">
      <c r="A32" s="5" t="s">
        <v>49</v>
      </c>
      <c r="B32" s="15" t="n">
        <v>0</v>
      </c>
      <c r="C32" s="15" t="n">
        <v>1</v>
      </c>
      <c r="D32" s="15" t="n">
        <v>1</v>
      </c>
      <c r="E32" s="16" t="n">
        <f aca="false">INDEX(B32:D32,$B$11)</f>
        <v>1</v>
      </c>
      <c r="F32" s="2" t="s">
        <v>50</v>
      </c>
    </row>
    <row r="33" customFormat="false" ht="15" hidden="false" customHeight="false" outlineLevel="0" collapsed="false">
      <c r="A33" s="18" t="s">
        <v>51</v>
      </c>
      <c r="B33" s="19" t="n">
        <f aca="false">SUM(B27:B32)</f>
        <v>18.5</v>
      </c>
      <c r="C33" s="19" t="n">
        <f aca="false">SUM(C27:C32)</f>
        <v>22</v>
      </c>
      <c r="D33" s="19" t="n">
        <f aca="false">SUM(D27:D32)</f>
        <v>22</v>
      </c>
      <c r="E33" s="19" t="n">
        <f aca="false">SUM(E27:E32)</f>
        <v>22</v>
      </c>
    </row>
    <row r="34" customFormat="false" ht="15" hidden="false" customHeight="false" outlineLevel="0" collapsed="false">
      <c r="A34" s="20" t="s">
        <v>52</v>
      </c>
      <c r="E34" s="21" t="n">
        <f aca="false">1-E33/$B$21</f>
        <v>0.541666666666667</v>
      </c>
      <c r="F34" s="9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9"/>
    <col collapsed="false" customWidth="true" hidden="false" outlineLevel="0" max="6" min="3" style="0" width="13"/>
    <col collapsed="false" customWidth="true" hidden="false" outlineLevel="0" max="7" min="7" style="0" width="52"/>
  </cols>
  <sheetData>
    <row r="1" customFormat="false" ht="19.4" hidden="false" customHeight="false" outlineLevel="0" collapsed="false">
      <c r="A1" s="1" t="s">
        <v>54</v>
      </c>
    </row>
    <row r="2" customFormat="false" ht="15" hidden="false" customHeight="false" outlineLevel="0" collapsed="false">
      <c r="A2" s="2" t="s">
        <v>55</v>
      </c>
    </row>
    <row r="4" customFormat="false" ht="15" hidden="false" customHeight="false" outlineLevel="0" collapsed="false">
      <c r="A4" s="14" t="s">
        <v>33</v>
      </c>
      <c r="B4" s="14" t="s">
        <v>56</v>
      </c>
      <c r="C4" s="14" t="s">
        <v>34</v>
      </c>
      <c r="D4" s="14" t="s">
        <v>35</v>
      </c>
      <c r="E4" s="14" t="s">
        <v>36</v>
      </c>
      <c r="F4" s="14" t="s">
        <v>37</v>
      </c>
      <c r="G4" s="14" t="s">
        <v>38</v>
      </c>
    </row>
    <row r="5" customFormat="false" ht="15" hidden="false" customHeight="false" outlineLevel="0" collapsed="false">
      <c r="A5" s="5" t="s">
        <v>57</v>
      </c>
      <c r="B5" s="4" t="n">
        <v>1</v>
      </c>
      <c r="C5" s="11" t="n">
        <v>21</v>
      </c>
      <c r="D5" s="11" t="n">
        <v>31</v>
      </c>
      <c r="E5" s="11" t="n">
        <v>31</v>
      </c>
      <c r="F5" s="22" t="n">
        <f aca="false">INDEX(C5:E5,前提!$B$11)</f>
        <v>31</v>
      </c>
      <c r="G5" s="2" t="s">
        <v>58</v>
      </c>
    </row>
    <row r="6" customFormat="false" ht="15" hidden="false" customHeight="false" outlineLevel="0" collapsed="false">
      <c r="A6" s="5" t="s">
        <v>59</v>
      </c>
      <c r="B6" s="4" t="n">
        <v>1</v>
      </c>
      <c r="C6" s="11" t="n">
        <v>10</v>
      </c>
      <c r="D6" s="11" t="n">
        <v>20</v>
      </c>
      <c r="E6" s="11" t="n">
        <v>20</v>
      </c>
      <c r="F6" s="22" t="n">
        <f aca="false">INDEX(C6:E6,前提!$B$11)</f>
        <v>20</v>
      </c>
      <c r="G6" s="2" t="s">
        <v>60</v>
      </c>
    </row>
    <row r="7" customFormat="false" ht="15" hidden="false" customHeight="false" outlineLevel="0" collapsed="false">
      <c r="A7" s="5" t="s">
        <v>61</v>
      </c>
      <c r="B7" s="4" t="n">
        <v>1</v>
      </c>
      <c r="C7" s="11" t="n">
        <v>54</v>
      </c>
      <c r="D7" s="11" t="n">
        <v>80</v>
      </c>
      <c r="E7" s="11" t="n">
        <v>80</v>
      </c>
      <c r="F7" s="22" t="n">
        <f aca="false">INDEX(C7:E7,前提!$B$11)</f>
        <v>80</v>
      </c>
      <c r="G7" s="2" t="s">
        <v>62</v>
      </c>
    </row>
    <row r="8" customFormat="false" ht="15" hidden="false" customHeight="false" outlineLevel="0" collapsed="false">
      <c r="A8" s="5" t="s">
        <v>63</v>
      </c>
      <c r="B8" s="4" t="n">
        <v>2</v>
      </c>
      <c r="C8" s="11" t="n">
        <v>55</v>
      </c>
      <c r="D8" s="11" t="n">
        <v>90</v>
      </c>
      <c r="E8" s="11" t="n">
        <v>90</v>
      </c>
      <c r="F8" s="22" t="n">
        <f aca="false">INDEX(C8:E8,前提!$B$11)</f>
        <v>90</v>
      </c>
      <c r="G8" s="9" t="s">
        <v>64</v>
      </c>
    </row>
    <row r="9" customFormat="false" ht="15" hidden="false" customHeight="false" outlineLevel="0" collapsed="false">
      <c r="A9" s="5" t="s">
        <v>65</v>
      </c>
      <c r="B9" s="4" t="n">
        <v>2</v>
      </c>
      <c r="C9" s="11" t="n">
        <v>37</v>
      </c>
      <c r="D9" s="11" t="n">
        <v>90</v>
      </c>
      <c r="E9" s="11" t="n">
        <v>70</v>
      </c>
      <c r="F9" s="22" t="n">
        <f aca="false">INDEX(C9:E9,前提!$B$11)</f>
        <v>70</v>
      </c>
      <c r="G9" s="9" t="s">
        <v>66</v>
      </c>
    </row>
    <row r="10" customFormat="false" ht="15" hidden="false" customHeight="false" outlineLevel="0" collapsed="false">
      <c r="A10" s="5" t="s">
        <v>67</v>
      </c>
      <c r="B10" s="4" t="n">
        <v>2</v>
      </c>
      <c r="C10" s="11" t="n">
        <v>45</v>
      </c>
      <c r="D10" s="11" t="n">
        <v>115</v>
      </c>
      <c r="E10" s="11" t="n">
        <v>75</v>
      </c>
      <c r="F10" s="22" t="n">
        <f aca="false">INDEX(C10:E10,前提!$B$11)</f>
        <v>75</v>
      </c>
      <c r="G10" s="9" t="s">
        <v>68</v>
      </c>
    </row>
    <row r="11" customFormat="false" ht="15" hidden="false" customHeight="false" outlineLevel="0" collapsed="false">
      <c r="A11" s="5" t="s">
        <v>69</v>
      </c>
      <c r="B11" s="4" t="n">
        <v>2</v>
      </c>
      <c r="C11" s="11" t="n">
        <v>100</v>
      </c>
      <c r="D11" s="11" t="n">
        <v>300</v>
      </c>
      <c r="E11" s="11" t="n">
        <v>150</v>
      </c>
      <c r="F11" s="22" t="n">
        <f aca="false">INDEX(C11:E11,前提!$B$11)</f>
        <v>150</v>
      </c>
      <c r="G11" s="2" t="s">
        <v>70</v>
      </c>
    </row>
    <row r="12" customFormat="false" ht="15" hidden="false" customHeight="false" outlineLevel="0" collapsed="false">
      <c r="A12" s="5" t="s">
        <v>71</v>
      </c>
      <c r="B12" s="4" t="n">
        <v>3</v>
      </c>
      <c r="C12" s="11" t="n">
        <v>115</v>
      </c>
      <c r="D12" s="11" t="n">
        <v>190</v>
      </c>
      <c r="E12" s="11" t="n">
        <v>110</v>
      </c>
      <c r="F12" s="22" t="n">
        <f aca="false">INDEX(C12:E12,前提!$B$11)</f>
        <v>110</v>
      </c>
      <c r="G12" s="2" t="s">
        <v>72</v>
      </c>
    </row>
    <row r="13" customFormat="false" ht="15" hidden="false" customHeight="false" outlineLevel="0" collapsed="false">
      <c r="A13" s="5" t="s">
        <v>73</v>
      </c>
      <c r="B13" s="4" t="n">
        <v>3</v>
      </c>
      <c r="C13" s="11" t="n">
        <v>40</v>
      </c>
      <c r="D13" s="11" t="n">
        <v>150</v>
      </c>
      <c r="E13" s="11" t="n">
        <v>50</v>
      </c>
      <c r="F13" s="22" t="n">
        <f aca="false">INDEX(C13:E13,前提!$B$11)</f>
        <v>50</v>
      </c>
      <c r="G13" s="2" t="s">
        <v>74</v>
      </c>
    </row>
    <row r="14" customFormat="false" ht="15" hidden="false" customHeight="false" outlineLevel="0" collapsed="false">
      <c r="A14" s="5" t="s">
        <v>75</v>
      </c>
      <c r="B14" s="4" t="n">
        <v>3</v>
      </c>
      <c r="C14" s="11" t="n">
        <v>30</v>
      </c>
      <c r="D14" s="11" t="n">
        <v>95</v>
      </c>
      <c r="E14" s="11" t="n">
        <v>95</v>
      </c>
      <c r="F14" s="22" t="n">
        <f aca="false">INDEX(C14:E14,前提!$B$11)</f>
        <v>95</v>
      </c>
      <c r="G14" s="2" t="s">
        <v>76</v>
      </c>
    </row>
    <row r="15" customFormat="false" ht="15" hidden="false" customHeight="false" outlineLevel="0" collapsed="false">
      <c r="A15" s="20" t="s">
        <v>77</v>
      </c>
      <c r="C15" s="23" t="n">
        <f aca="false">SUM(C5:C14)</f>
        <v>507</v>
      </c>
      <c r="D15" s="23" t="n">
        <f aca="false">SUM(D5:D14)</f>
        <v>1161</v>
      </c>
      <c r="E15" s="23" t="n">
        <f aca="false">SUM(E5:E14)</f>
        <v>771</v>
      </c>
      <c r="F15" s="23" t="n">
        <f aca="false">SUM(F5:F14)</f>
        <v>771</v>
      </c>
    </row>
    <row r="16" customFormat="false" ht="15" hidden="false" customHeight="false" outlineLevel="0" collapsed="false">
      <c r="A16" s="20" t="s">
        <v>78</v>
      </c>
      <c r="B16" s="4" t="n">
        <v>3</v>
      </c>
      <c r="C16" s="22" t="n">
        <f aca="false">C15*前提!$B$23</f>
        <v>76.05</v>
      </c>
      <c r="D16" s="22" t="n">
        <f aca="false">D15*前提!$B$23</f>
        <v>174.15</v>
      </c>
      <c r="E16" s="22" t="n">
        <f aca="false">E15*前提!$B$23</f>
        <v>115.65</v>
      </c>
      <c r="F16" s="22" t="n">
        <f aca="false">F15*前提!$B$23</f>
        <v>115.65</v>
      </c>
      <c r="G16" s="2" t="s">
        <v>79</v>
      </c>
    </row>
    <row r="17" customFormat="false" ht="15" hidden="false" customHeight="false" outlineLevel="0" collapsed="false">
      <c r="A17" s="20" t="s">
        <v>80</v>
      </c>
      <c r="C17" s="24" t="n">
        <f aca="false">C15+C16</f>
        <v>583.05</v>
      </c>
      <c r="D17" s="24" t="n">
        <f aca="false">D15+D16</f>
        <v>1335.15</v>
      </c>
      <c r="E17" s="24" t="n">
        <f aca="false">E15+E16</f>
        <v>886.65</v>
      </c>
      <c r="F17" s="24" t="n">
        <f aca="false">F15+F16</f>
        <v>886.65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9"/>
    <col collapsed="false" customWidth="true" hidden="false" outlineLevel="0" max="6" min="3" style="0" width="13"/>
    <col collapsed="false" customWidth="true" hidden="false" outlineLevel="0" max="7" min="7" style="0" width="52"/>
  </cols>
  <sheetData>
    <row r="1" customFormat="false" ht="19.4" hidden="false" customHeight="false" outlineLevel="0" collapsed="false">
      <c r="A1" s="1" t="s">
        <v>81</v>
      </c>
    </row>
    <row r="2" customFormat="false" ht="15" hidden="false" customHeight="false" outlineLevel="0" collapsed="false">
      <c r="A2" s="2" t="s">
        <v>82</v>
      </c>
    </row>
    <row r="4" customFormat="false" ht="15" hidden="false" customHeight="false" outlineLevel="0" collapsed="false">
      <c r="A4" s="14" t="s">
        <v>33</v>
      </c>
      <c r="B4" s="14" t="s">
        <v>83</v>
      </c>
      <c r="C4" s="14" t="s">
        <v>34</v>
      </c>
      <c r="D4" s="14" t="s">
        <v>35</v>
      </c>
      <c r="E4" s="14" t="s">
        <v>36</v>
      </c>
      <c r="F4" s="14" t="s">
        <v>37</v>
      </c>
      <c r="G4" s="14" t="s">
        <v>38</v>
      </c>
    </row>
    <row r="5" customFormat="false" ht="15" hidden="false" customHeight="false" outlineLevel="0" collapsed="false">
      <c r="A5" s="5" t="s">
        <v>84</v>
      </c>
      <c r="B5" s="4" t="n">
        <v>3</v>
      </c>
      <c r="C5" s="11" t="n">
        <v>35</v>
      </c>
      <c r="D5" s="11" t="n">
        <v>50</v>
      </c>
      <c r="E5" s="11" t="n">
        <v>50</v>
      </c>
      <c r="F5" s="22" t="n">
        <f aca="false">INDEX(C5:E5,前提!$B$11)</f>
        <v>50</v>
      </c>
      <c r="G5" s="2" t="s">
        <v>85</v>
      </c>
    </row>
    <row r="6" customFormat="false" ht="15" hidden="false" customHeight="false" outlineLevel="0" collapsed="false">
      <c r="A6" s="5" t="s">
        <v>86</v>
      </c>
      <c r="B6" s="4" t="n">
        <v>4</v>
      </c>
      <c r="C6" s="11" t="n">
        <v>48</v>
      </c>
      <c r="D6" s="11" t="n">
        <v>60</v>
      </c>
      <c r="E6" s="11" t="n">
        <v>60</v>
      </c>
      <c r="F6" s="22" t="n">
        <f aca="false">INDEX(C6:E6,前提!$B$11)</f>
        <v>60</v>
      </c>
      <c r="G6" s="2" t="s">
        <v>87</v>
      </c>
    </row>
    <row r="7" customFormat="false" ht="15" hidden="false" customHeight="false" outlineLevel="0" collapsed="false">
      <c r="A7" s="5" t="s">
        <v>88</v>
      </c>
      <c r="B7" s="4" t="n">
        <v>7</v>
      </c>
      <c r="C7" s="11" t="n">
        <v>48</v>
      </c>
      <c r="D7" s="11" t="n">
        <v>60</v>
      </c>
      <c r="E7" s="11" t="n">
        <v>60</v>
      </c>
      <c r="F7" s="22" t="n">
        <f aca="false">INDEX(C7:E7,前提!$B$11)</f>
        <v>60</v>
      </c>
      <c r="G7" s="2" t="s">
        <v>89</v>
      </c>
    </row>
    <row r="8" customFormat="false" ht="15" hidden="false" customHeight="false" outlineLevel="0" collapsed="false">
      <c r="A8" s="5" t="s">
        <v>90</v>
      </c>
      <c r="B8" s="4" t="n">
        <v>1</v>
      </c>
      <c r="C8" s="11" t="n">
        <v>8</v>
      </c>
      <c r="D8" s="11" t="n">
        <v>15</v>
      </c>
      <c r="E8" s="11" t="n">
        <v>12</v>
      </c>
      <c r="F8" s="22" t="n">
        <f aca="false">INDEX(C8:E8,前提!$B$11)</f>
        <v>12</v>
      </c>
      <c r="G8" s="2"/>
    </row>
    <row r="9" customFormat="false" ht="15" hidden="false" customHeight="false" outlineLevel="0" collapsed="false">
      <c r="A9" s="5" t="s">
        <v>91</v>
      </c>
      <c r="B9" s="4" t="n">
        <v>1</v>
      </c>
      <c r="C9" s="11" t="n">
        <v>2</v>
      </c>
      <c r="D9" s="11" t="n">
        <v>3</v>
      </c>
      <c r="E9" s="11" t="n">
        <v>3</v>
      </c>
      <c r="F9" s="22" t="n">
        <f aca="false">INDEX(C9:E9,前提!$B$11)</f>
        <v>3</v>
      </c>
      <c r="G9" s="2"/>
    </row>
    <row r="10" customFormat="false" ht="15" hidden="false" customHeight="false" outlineLevel="0" collapsed="false">
      <c r="A10" s="5" t="s">
        <v>92</v>
      </c>
      <c r="B10" s="4" t="n">
        <v>1</v>
      </c>
      <c r="C10" s="11" t="n">
        <v>4</v>
      </c>
      <c r="D10" s="11" t="n">
        <v>6</v>
      </c>
      <c r="E10" s="11" t="n">
        <v>6</v>
      </c>
      <c r="F10" s="22" t="n">
        <f aca="false">INDEX(C10:E10,前提!$B$11)</f>
        <v>6</v>
      </c>
      <c r="G10" s="2" t="s">
        <v>93</v>
      </c>
    </row>
    <row r="11" customFormat="false" ht="15" hidden="false" customHeight="false" outlineLevel="0" collapsed="false">
      <c r="A11" s="5" t="s">
        <v>94</v>
      </c>
      <c r="B11" s="4" t="n">
        <v>1</v>
      </c>
      <c r="C11" s="11" t="n">
        <v>1</v>
      </c>
      <c r="D11" s="11" t="n">
        <v>2</v>
      </c>
      <c r="E11" s="11" t="n">
        <v>2</v>
      </c>
      <c r="F11" s="22" t="n">
        <f aca="false">INDEX(C11:E11,前提!$B$11)</f>
        <v>2</v>
      </c>
      <c r="G11" s="2"/>
    </row>
    <row r="12" customFormat="false" ht="15" hidden="false" customHeight="false" outlineLevel="0" collapsed="false">
      <c r="A12" s="5" t="s">
        <v>95</v>
      </c>
      <c r="B12" s="4" t="n">
        <v>1</v>
      </c>
      <c r="C12" s="11" t="n">
        <v>3</v>
      </c>
      <c r="D12" s="11" t="n">
        <v>5</v>
      </c>
      <c r="E12" s="11" t="n">
        <v>5</v>
      </c>
      <c r="F12" s="22" t="n">
        <f aca="false">INDEX(C12:E12,前提!$B$11)</f>
        <v>5</v>
      </c>
      <c r="G12" s="2"/>
    </row>
    <row r="13" customFormat="false" ht="15" hidden="false" customHeight="false" outlineLevel="0" collapsed="false">
      <c r="A13" s="17" t="s">
        <v>96</v>
      </c>
      <c r="B13" s="4" t="n">
        <v>1</v>
      </c>
      <c r="C13" s="11" t="n">
        <v>3</v>
      </c>
      <c r="D13" s="11" t="n">
        <v>5</v>
      </c>
      <c r="E13" s="11" t="n">
        <v>5</v>
      </c>
      <c r="F13" s="22" t="n">
        <f aca="false">INDEX(C13:E13,前提!$B$11)</f>
        <v>5</v>
      </c>
      <c r="G13" s="2" t="s">
        <v>97</v>
      </c>
    </row>
    <row r="14" customFormat="false" ht="15" hidden="false" customHeight="false" outlineLevel="0" collapsed="false">
      <c r="A14" s="5" t="s">
        <v>98</v>
      </c>
      <c r="B14" s="4" t="n">
        <v>1</v>
      </c>
      <c r="C14" s="11" t="n">
        <v>2</v>
      </c>
      <c r="D14" s="11" t="n">
        <v>4</v>
      </c>
      <c r="E14" s="11" t="n">
        <v>4</v>
      </c>
      <c r="F14" s="22" t="n">
        <f aca="false">INDEX(C14:E14,前提!$B$11)</f>
        <v>4</v>
      </c>
      <c r="G14" s="2" t="s">
        <v>99</v>
      </c>
    </row>
    <row r="15" customFormat="false" ht="15" hidden="false" customHeight="false" outlineLevel="0" collapsed="false">
      <c r="A15" s="5" t="s">
        <v>100</v>
      </c>
      <c r="B15" s="4" t="n">
        <v>1</v>
      </c>
      <c r="C15" s="11" t="n">
        <v>10</v>
      </c>
      <c r="D15" s="11" t="n">
        <v>15</v>
      </c>
      <c r="E15" s="11" t="n">
        <v>15</v>
      </c>
      <c r="F15" s="22" t="n">
        <f aca="false">INDEX(C15:E15,前提!$B$11)</f>
        <v>15</v>
      </c>
      <c r="G15" s="2"/>
    </row>
    <row r="16" customFormat="false" ht="15" hidden="false" customHeight="false" outlineLevel="0" collapsed="false">
      <c r="A16" s="5" t="s">
        <v>101</v>
      </c>
      <c r="B16" s="4" t="n">
        <v>1</v>
      </c>
      <c r="C16" s="11" t="n">
        <v>1</v>
      </c>
      <c r="D16" s="11" t="n">
        <v>2</v>
      </c>
      <c r="E16" s="11" t="n">
        <v>2</v>
      </c>
      <c r="F16" s="22" t="n">
        <f aca="false">INDEX(C16:E16,前提!$B$11)</f>
        <v>2</v>
      </c>
      <c r="G16" s="2" t="s">
        <v>102</v>
      </c>
    </row>
    <row r="17" customFormat="false" ht="15" hidden="false" customHeight="false" outlineLevel="0" collapsed="false">
      <c r="A17" s="5" t="s">
        <v>103</v>
      </c>
      <c r="B17" s="4" t="n">
        <v>1</v>
      </c>
      <c r="C17" s="11" t="n">
        <v>1</v>
      </c>
      <c r="D17" s="11" t="n">
        <v>2</v>
      </c>
      <c r="E17" s="11" t="n">
        <v>2</v>
      </c>
      <c r="F17" s="22" t="n">
        <f aca="false">INDEX(C17:E17,前提!$B$11)</f>
        <v>2</v>
      </c>
      <c r="G17" s="2"/>
    </row>
    <row r="18" customFormat="false" ht="15" hidden="false" customHeight="false" outlineLevel="0" collapsed="false">
      <c r="A18" s="5" t="s">
        <v>104</v>
      </c>
      <c r="B18" s="4" t="n">
        <v>4</v>
      </c>
      <c r="C18" s="11" t="n">
        <v>20</v>
      </c>
      <c r="D18" s="11" t="n">
        <v>20</v>
      </c>
      <c r="E18" s="11" t="n">
        <v>20</v>
      </c>
      <c r="F18" s="22" t="n">
        <f aca="false">INDEX(C18:E18,前提!$B$11)</f>
        <v>20</v>
      </c>
      <c r="G18" s="9" t="s">
        <v>105</v>
      </c>
    </row>
    <row r="19" customFormat="false" ht="15" hidden="false" customHeight="false" outlineLevel="0" collapsed="false">
      <c r="A19" s="5" t="s">
        <v>106</v>
      </c>
      <c r="B19" s="4" t="n">
        <v>7</v>
      </c>
      <c r="C19" s="11" t="n">
        <v>25</v>
      </c>
      <c r="D19" s="11" t="n">
        <v>25</v>
      </c>
      <c r="E19" s="11" t="n">
        <v>25</v>
      </c>
      <c r="F19" s="22" t="n">
        <f aca="false">INDEX(C19:E19,前提!$B$11)</f>
        <v>25</v>
      </c>
      <c r="G19" s="9" t="s">
        <v>107</v>
      </c>
    </row>
    <row r="20" customFormat="false" ht="15" hidden="false" customHeight="false" outlineLevel="0" collapsed="false">
      <c r="A20" s="20" t="s">
        <v>108</v>
      </c>
      <c r="C20" s="24" t="n">
        <f aca="false">SUM(C5:C19)</f>
        <v>211</v>
      </c>
      <c r="D20" s="24" t="n">
        <f aca="false">SUM(D5:D19)</f>
        <v>274</v>
      </c>
      <c r="E20" s="24" t="n">
        <f aca="false">SUM(E5:E19)</f>
        <v>271</v>
      </c>
      <c r="F20" s="24" t="n">
        <f aca="false">SUM(F5:F19)</f>
        <v>271</v>
      </c>
    </row>
    <row r="22" customFormat="false" ht="15" hidden="false" customHeight="false" outlineLevel="0" collapsed="false">
      <c r="A22" s="20" t="s">
        <v>109</v>
      </c>
      <c r="F22" s="25" t="n">
        <f aca="false">F20/前提!$E$34</f>
        <v>500.307692307692</v>
      </c>
      <c r="G22" s="2" t="s">
        <v>110</v>
      </c>
    </row>
    <row r="23" customFormat="false" ht="15" hidden="false" customHeight="false" outlineLevel="0" collapsed="false">
      <c r="A23" s="20" t="s">
        <v>111</v>
      </c>
      <c r="F23" s="26" t="n">
        <f aca="false">F22/前提!$B$21</f>
        <v>10.4230769230769</v>
      </c>
      <c r="G23" s="2" t="s">
        <v>112</v>
      </c>
    </row>
    <row r="25" customFormat="false" ht="15" hidden="false" customHeight="false" outlineLevel="0" collapsed="false">
      <c r="A25" s="20" t="s">
        <v>113</v>
      </c>
      <c r="F25" s="25" t="n">
        <f aca="false">SUM(F18:F19)</f>
        <v>45</v>
      </c>
      <c r="G25" s="2" t="s">
        <v>114</v>
      </c>
    </row>
    <row r="26" customFormat="false" ht="15" hidden="false" customHeight="false" outlineLevel="0" collapsed="false">
      <c r="A26" s="20" t="s">
        <v>115</v>
      </c>
      <c r="F26" s="26" t="n">
        <f aca="false">(F20-F25)/前提!$E$34/前提!$B$21</f>
        <v>8.69230769230769</v>
      </c>
      <c r="G26" s="2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3" min="2" style="0" width="11"/>
    <col collapsed="false" customWidth="true" hidden="false" outlineLevel="0" max="15" min="15" style="0" width="40"/>
  </cols>
  <sheetData>
    <row r="1" customFormat="false" ht="19.4" hidden="false" customHeight="false" outlineLevel="0" collapsed="false">
      <c r="A1" s="1" t="s">
        <v>117</v>
      </c>
    </row>
    <row r="2" customFormat="false" ht="15" hidden="false" customHeight="false" outlineLevel="0" collapsed="false">
      <c r="A2" s="2" t="s">
        <v>118</v>
      </c>
    </row>
    <row r="4" customFormat="false" ht="15" hidden="false" customHeight="false" outlineLevel="0" collapsed="false">
      <c r="A4" s="20" t="s">
        <v>119</v>
      </c>
      <c r="B4" s="27" t="n">
        <v>1</v>
      </c>
      <c r="C4" s="27" t="n">
        <v>2</v>
      </c>
      <c r="D4" s="27" t="n">
        <v>3</v>
      </c>
      <c r="E4" s="27" t="n">
        <v>4</v>
      </c>
      <c r="F4" s="27" t="n">
        <v>5</v>
      </c>
      <c r="G4" s="27" t="n">
        <v>6</v>
      </c>
      <c r="H4" s="27" t="n">
        <v>7</v>
      </c>
      <c r="I4" s="27" t="n">
        <v>8</v>
      </c>
      <c r="J4" s="27" t="n">
        <v>9</v>
      </c>
      <c r="K4" s="27" t="n">
        <v>10</v>
      </c>
      <c r="L4" s="27" t="n">
        <v>11</v>
      </c>
      <c r="M4" s="27" t="n">
        <v>12</v>
      </c>
    </row>
    <row r="5" customFormat="false" ht="15" hidden="false" customHeight="false" outlineLevel="0" collapsed="false">
      <c r="A5" s="20" t="s">
        <v>120</v>
      </c>
      <c r="B5" s="27" t="s">
        <v>121</v>
      </c>
      <c r="C5" s="27" t="s">
        <v>122</v>
      </c>
      <c r="D5" s="27" t="s">
        <v>123</v>
      </c>
      <c r="E5" s="27" t="s">
        <v>124</v>
      </c>
      <c r="F5" s="27" t="s">
        <v>125</v>
      </c>
      <c r="G5" s="27" t="s">
        <v>126</v>
      </c>
      <c r="H5" s="27" t="s">
        <v>127</v>
      </c>
      <c r="I5" s="27" t="s">
        <v>128</v>
      </c>
      <c r="J5" s="27" t="s">
        <v>129</v>
      </c>
      <c r="K5" s="27" t="s">
        <v>130</v>
      </c>
      <c r="L5" s="27" t="s">
        <v>131</v>
      </c>
      <c r="M5" s="27" t="s">
        <v>132</v>
      </c>
    </row>
    <row r="6" customFormat="false" ht="15" hidden="false" customHeight="false" outlineLevel="0" collapsed="false">
      <c r="A6" s="20" t="s">
        <v>133</v>
      </c>
      <c r="B6" s="28" t="n">
        <v>0</v>
      </c>
      <c r="C6" s="28" t="n">
        <v>0</v>
      </c>
      <c r="D6" s="28" t="n">
        <v>0</v>
      </c>
      <c r="E6" s="28" t="n">
        <v>1</v>
      </c>
      <c r="F6" s="28" t="n">
        <v>2</v>
      </c>
      <c r="G6" s="28" t="n">
        <v>2</v>
      </c>
      <c r="H6" s="28" t="n">
        <v>3</v>
      </c>
      <c r="I6" s="28" t="n">
        <v>3</v>
      </c>
      <c r="J6" s="28" t="n">
        <v>4</v>
      </c>
      <c r="K6" s="28" t="n">
        <v>4</v>
      </c>
      <c r="L6" s="28" t="n">
        <v>5</v>
      </c>
      <c r="M6" s="28" t="n">
        <v>5</v>
      </c>
      <c r="O6" s="2" t="s">
        <v>134</v>
      </c>
    </row>
    <row r="7" customFormat="false" ht="15" hidden="false" customHeight="false" outlineLevel="0" collapsed="false">
      <c r="A7" s="5" t="s">
        <v>135</v>
      </c>
      <c r="B7" s="29" t="n">
        <f aca="false">B6*前提!$B$21</f>
        <v>0</v>
      </c>
      <c r="C7" s="29" t="n">
        <f aca="false">C6*前提!$B$21</f>
        <v>0</v>
      </c>
      <c r="D7" s="29" t="n">
        <f aca="false">D6*前提!$B$21</f>
        <v>0</v>
      </c>
      <c r="E7" s="29" t="n">
        <f aca="false">E6*前提!$B$21</f>
        <v>48</v>
      </c>
      <c r="F7" s="29" t="n">
        <f aca="false">F6*前提!$B$21</f>
        <v>96</v>
      </c>
      <c r="G7" s="29" t="n">
        <f aca="false">G6*前提!$B$21</f>
        <v>96</v>
      </c>
      <c r="H7" s="29" t="n">
        <f aca="false">H6*前提!$B$21</f>
        <v>144</v>
      </c>
      <c r="I7" s="29" t="n">
        <f aca="false">I6*前提!$B$21</f>
        <v>144</v>
      </c>
      <c r="J7" s="29" t="n">
        <f aca="false">J6*前提!$B$21</f>
        <v>192</v>
      </c>
      <c r="K7" s="29" t="n">
        <f aca="false">K6*前提!$B$21</f>
        <v>192</v>
      </c>
      <c r="L7" s="29" t="n">
        <f aca="false">L6*前提!$B$21</f>
        <v>240</v>
      </c>
      <c r="M7" s="29" t="n">
        <f aca="false">M6*前提!$B$21</f>
        <v>240</v>
      </c>
    </row>
    <row r="9" customFormat="false" ht="15" hidden="false" customHeight="false" outlineLevel="0" collapsed="false">
      <c r="A9" s="5" t="s">
        <v>136</v>
      </c>
      <c r="B9" s="29" t="n">
        <v>0</v>
      </c>
      <c r="C9" s="29" t="n">
        <f aca="false">B7</f>
        <v>0</v>
      </c>
      <c r="D9" s="29" t="n">
        <f aca="false">C7</f>
        <v>0</v>
      </c>
      <c r="E9" s="29" t="n">
        <f aca="false">D7</f>
        <v>0</v>
      </c>
      <c r="F9" s="29" t="n">
        <f aca="false">E7</f>
        <v>48</v>
      </c>
      <c r="G9" s="29" t="n">
        <f aca="false">F7</f>
        <v>96</v>
      </c>
      <c r="H9" s="29" t="n">
        <f aca="false">G7</f>
        <v>96</v>
      </c>
      <c r="I9" s="29" t="n">
        <f aca="false">H7</f>
        <v>144</v>
      </c>
      <c r="J9" s="29" t="n">
        <f aca="false">I7</f>
        <v>144</v>
      </c>
      <c r="K9" s="29" t="n">
        <f aca="false">J7</f>
        <v>192</v>
      </c>
      <c r="L9" s="29" t="n">
        <f aca="false">K7</f>
        <v>192</v>
      </c>
      <c r="M9" s="29" t="n">
        <f aca="false">L7</f>
        <v>240</v>
      </c>
    </row>
    <row r="10" customFormat="false" ht="15" hidden="false" customHeight="false" outlineLevel="0" collapsed="false">
      <c r="A10" s="5" t="s">
        <v>137</v>
      </c>
      <c r="B10" s="22" t="n">
        <f aca="false">前提!$B$14</f>
        <v>800</v>
      </c>
      <c r="C10" s="22" t="n">
        <v>0</v>
      </c>
      <c r="D10" s="22" t="n">
        <v>0</v>
      </c>
      <c r="E10" s="22" t="n">
        <v>0</v>
      </c>
      <c r="F10" s="22" t="n">
        <v>0</v>
      </c>
      <c r="G10" s="22" t="n">
        <v>0</v>
      </c>
      <c r="H10" s="22" t="n">
        <v>0</v>
      </c>
      <c r="I10" s="22" t="n">
        <v>0</v>
      </c>
      <c r="J10" s="22" t="n">
        <v>0</v>
      </c>
      <c r="K10" s="22" t="n">
        <v>0</v>
      </c>
      <c r="L10" s="22" t="n">
        <v>0</v>
      </c>
      <c r="M10" s="22" t="n">
        <v>0</v>
      </c>
    </row>
    <row r="11" customFormat="false" ht="15" hidden="false" customHeight="false" outlineLevel="0" collapsed="false">
      <c r="A11" s="5" t="s">
        <v>138</v>
      </c>
      <c r="B11" s="22" t="n">
        <f aca="false">IF(B4=前提!$B$16,前提!$B$15,0)</f>
        <v>0</v>
      </c>
      <c r="C11" s="22" t="n">
        <f aca="false">IF(C4=前提!$B$16,前提!$B$15,0)</f>
        <v>2000</v>
      </c>
      <c r="D11" s="22" t="n">
        <f aca="false">IF(D4=前提!$B$16,前提!$B$15,0)</f>
        <v>0</v>
      </c>
      <c r="E11" s="22" t="n">
        <f aca="false">IF(E4=前提!$B$16,前提!$B$15,0)</f>
        <v>0</v>
      </c>
      <c r="F11" s="22" t="n">
        <f aca="false">IF(F4=前提!$B$16,前提!$B$15,0)</f>
        <v>0</v>
      </c>
      <c r="G11" s="22" t="n">
        <f aca="false">IF(G4=前提!$B$16,前提!$B$15,0)</f>
        <v>0</v>
      </c>
      <c r="H11" s="22" t="n">
        <f aca="false">IF(H4=前提!$B$16,前提!$B$15,0)</f>
        <v>0</v>
      </c>
      <c r="I11" s="22" t="n">
        <f aca="false">IF(I4=前提!$B$16,前提!$B$15,0)</f>
        <v>0</v>
      </c>
      <c r="J11" s="22" t="n">
        <f aca="false">IF(J4=前提!$B$16,前提!$B$15,0)</f>
        <v>0</v>
      </c>
      <c r="K11" s="22" t="n">
        <f aca="false">IF(K4=前提!$B$16,前提!$B$15,0)</f>
        <v>0</v>
      </c>
      <c r="L11" s="22" t="n">
        <f aca="false">IF(L4=前提!$B$16,前提!$B$15,0)</f>
        <v>0</v>
      </c>
      <c r="M11" s="22" t="n">
        <f aca="false">IF(M4=前提!$B$16,前提!$B$15,0)</f>
        <v>0</v>
      </c>
    </row>
    <row r="12" customFormat="false" ht="15" hidden="false" customHeight="false" outlineLevel="0" collapsed="false">
      <c r="A12" s="20" t="s">
        <v>139</v>
      </c>
      <c r="B12" s="23" t="n">
        <f aca="false">SUM(B9:B11)</f>
        <v>800</v>
      </c>
      <c r="C12" s="23" t="n">
        <f aca="false">SUM(C9:C11)</f>
        <v>2000</v>
      </c>
      <c r="D12" s="23" t="n">
        <f aca="false">SUM(D9:D11)</f>
        <v>0</v>
      </c>
      <c r="E12" s="23" t="n">
        <f aca="false">SUM(E9:E11)</f>
        <v>0</v>
      </c>
      <c r="F12" s="23" t="n">
        <f aca="false">SUM(F9:F11)</f>
        <v>48</v>
      </c>
      <c r="G12" s="23" t="n">
        <f aca="false">SUM(G9:G11)</f>
        <v>96</v>
      </c>
      <c r="H12" s="23" t="n">
        <f aca="false">SUM(H9:H11)</f>
        <v>96</v>
      </c>
      <c r="I12" s="23" t="n">
        <f aca="false">SUM(I9:I11)</f>
        <v>144</v>
      </c>
      <c r="J12" s="23" t="n">
        <f aca="false">SUM(J9:J11)</f>
        <v>144</v>
      </c>
      <c r="K12" s="23" t="n">
        <f aca="false">SUM(K9:K11)</f>
        <v>192</v>
      </c>
      <c r="L12" s="23" t="n">
        <f aca="false">SUM(L9:L11)</f>
        <v>192</v>
      </c>
      <c r="M12" s="23" t="n">
        <f aca="false">SUM(M9:M11)</f>
        <v>240</v>
      </c>
    </row>
    <row r="14" customFormat="false" ht="15" hidden="false" customHeight="false" outlineLevel="0" collapsed="false">
      <c r="A14" s="5" t="s">
        <v>140</v>
      </c>
      <c r="B14" s="22" t="n">
        <f aca="false">SUMIF(初期費用!$B$5:$B$17,B4,初期費用!$F$5:$F$17)</f>
        <v>131</v>
      </c>
      <c r="C14" s="22" t="n">
        <f aca="false">SUMIF(初期費用!$B$5:$B$17,C4,初期費用!$F$5:$F$17)</f>
        <v>385</v>
      </c>
      <c r="D14" s="22" t="n">
        <f aca="false">SUMIF(初期費用!$B$5:$B$17,D4,初期費用!$F$5:$F$17)</f>
        <v>370.65</v>
      </c>
      <c r="E14" s="22" t="n">
        <f aca="false">SUMIF(初期費用!$B$5:$B$17,E4,初期費用!$F$5:$F$17)</f>
        <v>0</v>
      </c>
      <c r="F14" s="22" t="n">
        <f aca="false">SUMIF(初期費用!$B$5:$B$17,F4,初期費用!$F$5:$F$17)</f>
        <v>0</v>
      </c>
      <c r="G14" s="22" t="n">
        <f aca="false">SUMIF(初期費用!$B$5:$B$17,G4,初期費用!$F$5:$F$17)</f>
        <v>0</v>
      </c>
      <c r="H14" s="22" t="n">
        <f aca="false">SUMIF(初期費用!$B$5:$B$17,H4,初期費用!$F$5:$F$17)</f>
        <v>0</v>
      </c>
      <c r="I14" s="22" t="n">
        <f aca="false">SUMIF(初期費用!$B$5:$B$17,I4,初期費用!$F$5:$F$17)</f>
        <v>0</v>
      </c>
      <c r="J14" s="22" t="n">
        <f aca="false">SUMIF(初期費用!$B$5:$B$17,J4,初期費用!$F$5:$F$17)</f>
        <v>0</v>
      </c>
      <c r="K14" s="22" t="n">
        <f aca="false">SUMIF(初期費用!$B$5:$B$17,K4,初期費用!$F$5:$F$17)</f>
        <v>0</v>
      </c>
      <c r="L14" s="22" t="n">
        <f aca="false">SUMIF(初期費用!$B$5:$B$17,L4,初期費用!$F$5:$F$17)</f>
        <v>0</v>
      </c>
      <c r="M14" s="22" t="n">
        <f aca="false">SUMIF(初期費用!$B$5:$B$17,M4,初期費用!$F$5:$F$17)</f>
        <v>0</v>
      </c>
    </row>
    <row r="15" customFormat="false" ht="15" hidden="false" customHeight="false" outlineLevel="0" collapsed="false">
      <c r="A15" s="5" t="s">
        <v>141</v>
      </c>
      <c r="B15" s="22" t="n">
        <f aca="false">SUMIF(月次固定費!$B$5:$B$19,"&lt;="&amp;B4,月次固定費!$F$5:$F$19)</f>
        <v>56</v>
      </c>
      <c r="C15" s="22" t="n">
        <f aca="false">SUMIF(月次固定費!$B$5:$B$19,"&lt;="&amp;C4,月次固定費!$F$5:$F$19)</f>
        <v>56</v>
      </c>
      <c r="D15" s="22" t="n">
        <f aca="false">SUMIF(月次固定費!$B$5:$B$19,"&lt;="&amp;D4,月次固定費!$F$5:$F$19)</f>
        <v>106</v>
      </c>
      <c r="E15" s="22" t="n">
        <f aca="false">SUMIF(月次固定費!$B$5:$B$19,"&lt;="&amp;E4,月次固定費!$F$5:$F$19)</f>
        <v>186</v>
      </c>
      <c r="F15" s="22" t="n">
        <f aca="false">SUMIF(月次固定費!$B$5:$B$19,"&lt;="&amp;F4,月次固定費!$F$5:$F$19)</f>
        <v>186</v>
      </c>
      <c r="G15" s="22" t="n">
        <f aca="false">SUMIF(月次固定費!$B$5:$B$19,"&lt;="&amp;G4,月次固定費!$F$5:$F$19)</f>
        <v>186</v>
      </c>
      <c r="H15" s="22" t="n">
        <f aca="false">SUMIF(月次固定費!$B$5:$B$19,"&lt;="&amp;H4,月次固定費!$F$5:$F$19)</f>
        <v>271</v>
      </c>
      <c r="I15" s="22" t="n">
        <f aca="false">SUMIF(月次固定費!$B$5:$B$19,"&lt;="&amp;I4,月次固定費!$F$5:$F$19)</f>
        <v>271</v>
      </c>
      <c r="J15" s="22" t="n">
        <f aca="false">SUMIF(月次固定費!$B$5:$B$19,"&lt;="&amp;J4,月次固定費!$F$5:$F$19)</f>
        <v>271</v>
      </c>
      <c r="K15" s="22" t="n">
        <f aca="false">SUMIF(月次固定費!$B$5:$B$19,"&lt;="&amp;K4,月次固定費!$F$5:$F$19)</f>
        <v>271</v>
      </c>
      <c r="L15" s="22" t="n">
        <f aca="false">SUMIF(月次固定費!$B$5:$B$19,"&lt;="&amp;L4,月次固定費!$F$5:$F$19)</f>
        <v>271</v>
      </c>
      <c r="M15" s="22" t="n">
        <f aca="false">SUMIF(月次固定費!$B$5:$B$19,"&lt;="&amp;M4,月次固定費!$F$5:$F$19)</f>
        <v>271</v>
      </c>
    </row>
    <row r="16" customFormat="false" ht="15" hidden="false" customHeight="false" outlineLevel="0" collapsed="false">
      <c r="A16" s="5" t="s">
        <v>142</v>
      </c>
      <c r="B16" s="22" t="n">
        <f aca="false">B6*前提!$E$33</f>
        <v>0</v>
      </c>
      <c r="C16" s="22" t="n">
        <f aca="false">C6*前提!$E$33</f>
        <v>0</v>
      </c>
      <c r="D16" s="22" t="n">
        <f aca="false">D6*前提!$E$33</f>
        <v>0</v>
      </c>
      <c r="E16" s="22" t="n">
        <f aca="false">E6*前提!$E$33</f>
        <v>22</v>
      </c>
      <c r="F16" s="22" t="n">
        <f aca="false">F6*前提!$E$33</f>
        <v>44</v>
      </c>
      <c r="G16" s="22" t="n">
        <f aca="false">G6*前提!$E$33</f>
        <v>44</v>
      </c>
      <c r="H16" s="22" t="n">
        <f aca="false">H6*前提!$E$33</f>
        <v>66</v>
      </c>
      <c r="I16" s="22" t="n">
        <f aca="false">I6*前提!$E$33</f>
        <v>66</v>
      </c>
      <c r="J16" s="22" t="n">
        <f aca="false">J6*前提!$E$33</f>
        <v>88</v>
      </c>
      <c r="K16" s="22" t="n">
        <f aca="false">K6*前提!$E$33</f>
        <v>88</v>
      </c>
      <c r="L16" s="22" t="n">
        <f aca="false">L6*前提!$E$33</f>
        <v>110</v>
      </c>
      <c r="M16" s="22" t="n">
        <f aca="false">M6*前提!$E$33</f>
        <v>110</v>
      </c>
    </row>
    <row r="17" customFormat="false" ht="15" hidden="false" customHeight="false" outlineLevel="0" collapsed="false">
      <c r="A17" s="5" t="s">
        <v>143</v>
      </c>
      <c r="B17" s="22" t="n">
        <f aca="false">IF(B4&gt;=前提!$B$16,前提!$B$15*前提!$B$17/12,0)</f>
        <v>0</v>
      </c>
      <c r="C17" s="22" t="n">
        <f aca="false">IF(C4&gt;=前提!$B$16,前提!$B$15*前提!$B$17/12,0)</f>
        <v>5</v>
      </c>
      <c r="D17" s="22" t="n">
        <f aca="false">IF(D4&gt;=前提!$B$16,前提!$B$15*前提!$B$17/12,0)</f>
        <v>5</v>
      </c>
      <c r="E17" s="22" t="n">
        <f aca="false">IF(E4&gt;=前提!$B$16,前提!$B$15*前提!$B$17/12,0)</f>
        <v>5</v>
      </c>
      <c r="F17" s="22" t="n">
        <f aca="false">IF(F4&gt;=前提!$B$16,前提!$B$15*前提!$B$17/12,0)</f>
        <v>5</v>
      </c>
      <c r="G17" s="22" t="n">
        <f aca="false">IF(G4&gt;=前提!$B$16,前提!$B$15*前提!$B$17/12,0)</f>
        <v>5</v>
      </c>
      <c r="H17" s="22" t="n">
        <f aca="false">IF(H4&gt;=前提!$B$16,前提!$B$15*前提!$B$17/12,0)</f>
        <v>5</v>
      </c>
      <c r="I17" s="22" t="n">
        <f aca="false">IF(I4&gt;=前提!$B$16,前提!$B$15*前提!$B$17/12,0)</f>
        <v>5</v>
      </c>
      <c r="J17" s="22" t="n">
        <f aca="false">IF(J4&gt;=前提!$B$16,前提!$B$15*前提!$B$17/12,0)</f>
        <v>5</v>
      </c>
      <c r="K17" s="22" t="n">
        <f aca="false">IF(K4&gt;=前提!$B$16,前提!$B$15*前提!$B$17/12,0)</f>
        <v>5</v>
      </c>
      <c r="L17" s="22" t="n">
        <f aca="false">IF(L4&gt;=前提!$B$16,前提!$B$15*前提!$B$17/12,0)</f>
        <v>5</v>
      </c>
      <c r="M17" s="22" t="n">
        <f aca="false">IF(M4&gt;=前提!$B$16,前提!$B$15*前提!$B$17/12,0)</f>
        <v>5</v>
      </c>
    </row>
    <row r="18" customFormat="false" ht="15" hidden="false" customHeight="false" outlineLevel="0" collapsed="false">
      <c r="A18" s="20" t="s">
        <v>144</v>
      </c>
      <c r="B18" s="23" t="n">
        <f aca="false">SUM(B14:B17)</f>
        <v>187</v>
      </c>
      <c r="C18" s="23" t="n">
        <f aca="false">SUM(C14:C17)</f>
        <v>446</v>
      </c>
      <c r="D18" s="23" t="n">
        <f aca="false">SUM(D14:D17)</f>
        <v>481.65</v>
      </c>
      <c r="E18" s="23" t="n">
        <f aca="false">SUM(E14:E17)</f>
        <v>213</v>
      </c>
      <c r="F18" s="23" t="n">
        <f aca="false">SUM(F14:F17)</f>
        <v>235</v>
      </c>
      <c r="G18" s="23" t="n">
        <f aca="false">SUM(G14:G17)</f>
        <v>235</v>
      </c>
      <c r="H18" s="23" t="n">
        <f aca="false">SUM(H14:H17)</f>
        <v>342</v>
      </c>
      <c r="I18" s="23" t="n">
        <f aca="false">SUM(I14:I17)</f>
        <v>342</v>
      </c>
      <c r="J18" s="23" t="n">
        <f aca="false">SUM(J14:J17)</f>
        <v>364</v>
      </c>
      <c r="K18" s="23" t="n">
        <f aca="false">SUM(K14:K17)</f>
        <v>364</v>
      </c>
      <c r="L18" s="23" t="n">
        <f aca="false">SUM(L14:L17)</f>
        <v>386</v>
      </c>
      <c r="M18" s="23" t="n">
        <f aca="false">SUM(M14:M17)</f>
        <v>386</v>
      </c>
    </row>
    <row r="20" customFormat="false" ht="15" hidden="false" customHeight="false" outlineLevel="0" collapsed="false">
      <c r="A20" s="20" t="s">
        <v>145</v>
      </c>
      <c r="B20" s="23" t="n">
        <f aca="false">B12-B18</f>
        <v>613</v>
      </c>
      <c r="C20" s="23" t="n">
        <f aca="false">C12-C18</f>
        <v>1554</v>
      </c>
      <c r="D20" s="23" t="n">
        <f aca="false">D12-D18</f>
        <v>-481.65</v>
      </c>
      <c r="E20" s="23" t="n">
        <f aca="false">E12-E18</f>
        <v>-213</v>
      </c>
      <c r="F20" s="23" t="n">
        <f aca="false">F12-F18</f>
        <v>-187</v>
      </c>
      <c r="G20" s="23" t="n">
        <f aca="false">G12-G18</f>
        <v>-139</v>
      </c>
      <c r="H20" s="23" t="n">
        <f aca="false">H12-H18</f>
        <v>-246</v>
      </c>
      <c r="I20" s="23" t="n">
        <f aca="false">I12-I18</f>
        <v>-198</v>
      </c>
      <c r="J20" s="23" t="n">
        <f aca="false">J12-J18</f>
        <v>-220</v>
      </c>
      <c r="K20" s="23" t="n">
        <f aca="false">K12-K18</f>
        <v>-172</v>
      </c>
      <c r="L20" s="23" t="n">
        <f aca="false">L12-L18</f>
        <v>-194</v>
      </c>
      <c r="M20" s="23" t="n">
        <f aca="false">M12-M18</f>
        <v>-146</v>
      </c>
    </row>
    <row r="21" customFormat="false" ht="15" hidden="false" customHeight="false" outlineLevel="0" collapsed="false">
      <c r="A21" s="20" t="s">
        <v>146</v>
      </c>
      <c r="B21" s="30" t="n">
        <f aca="false">B20</f>
        <v>613</v>
      </c>
      <c r="C21" s="30" t="n">
        <f aca="false">B21+C20</f>
        <v>2167</v>
      </c>
      <c r="D21" s="30" t="n">
        <f aca="false">C21+D20</f>
        <v>1685.35</v>
      </c>
      <c r="E21" s="30" t="n">
        <f aca="false">D21+E20</f>
        <v>1472.35</v>
      </c>
      <c r="F21" s="30" t="n">
        <f aca="false">E21+F20</f>
        <v>1285.35</v>
      </c>
      <c r="G21" s="30" t="n">
        <f aca="false">F21+G20</f>
        <v>1146.35</v>
      </c>
      <c r="H21" s="30" t="n">
        <f aca="false">G21+H20</f>
        <v>900.35</v>
      </c>
      <c r="I21" s="30" t="n">
        <f aca="false">H21+I20</f>
        <v>702.35</v>
      </c>
      <c r="J21" s="30" t="n">
        <f aca="false">I21+J20</f>
        <v>482.35</v>
      </c>
      <c r="K21" s="30" t="n">
        <f aca="false">J21+K20</f>
        <v>310.35</v>
      </c>
      <c r="L21" s="30" t="n">
        <f aca="false">K21+L20</f>
        <v>116.35</v>
      </c>
      <c r="M21" s="30" t="n">
        <f aca="false">L21+M20</f>
        <v>-29.6500000000001</v>
      </c>
    </row>
    <row r="23" customFormat="false" ht="15" hidden="false" customHeight="false" outlineLevel="0" collapsed="false">
      <c r="A23" s="20" t="s">
        <v>147</v>
      </c>
      <c r="B23" s="25" t="n">
        <f aca="false">MIN(B21:M21)</f>
        <v>-29.6500000000001</v>
      </c>
    </row>
    <row r="24" customFormat="false" ht="15" hidden="false" customHeight="false" outlineLevel="0" collapsed="false">
      <c r="A24" s="20" t="s">
        <v>148</v>
      </c>
      <c r="B24" s="20" t="str">
        <f aca="false">INDEX(B5:M5,MATCH(B23,B21:M21,0))</f>
        <v>2027/9</v>
      </c>
    </row>
    <row r="25" customFormat="false" ht="15" hidden="false" customHeight="false" outlineLevel="0" collapsed="false">
      <c r="A25" s="18" t="s">
        <v>149</v>
      </c>
      <c r="B25" s="26" t="n">
        <f aca="false">SUM(B6:M6)</f>
        <v>29</v>
      </c>
    </row>
    <row r="26" customFormat="false" ht="15" hidden="false" customHeight="false" outlineLevel="0" collapsed="false">
      <c r="A26" s="18" t="s">
        <v>150</v>
      </c>
      <c r="B26" s="25" t="n">
        <f aca="false">SUM(B7:M7)</f>
        <v>1392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5"/>
    <col collapsed="false" customWidth="true" hidden="false" outlineLevel="0" max="3" min="3" style="0" width="44"/>
  </cols>
  <sheetData>
    <row r="1" customFormat="false" ht="19.4" hidden="false" customHeight="false" outlineLevel="0" collapsed="false">
      <c r="A1" s="1" t="s">
        <v>151</v>
      </c>
    </row>
    <row r="2" customFormat="false" ht="15" hidden="false" customHeight="false" outlineLevel="0" collapsed="false">
      <c r="A2" s="2" t="s">
        <v>152</v>
      </c>
    </row>
    <row r="4" customFormat="false" ht="15" hidden="false" customHeight="false" outlineLevel="0" collapsed="false">
      <c r="A4" s="5" t="s">
        <v>153</v>
      </c>
      <c r="B4" s="22" t="n">
        <f aca="false">初期費用!F17</f>
        <v>886.65</v>
      </c>
      <c r="C4" s="2" t="s">
        <v>154</v>
      </c>
    </row>
    <row r="5" customFormat="false" ht="15" hidden="false" customHeight="false" outlineLevel="0" collapsed="false">
      <c r="A5" s="5" t="s">
        <v>155</v>
      </c>
      <c r="B5" s="22" t="n">
        <f aca="false">月次固定費!F20</f>
        <v>271</v>
      </c>
      <c r="C5" s="2"/>
    </row>
    <row r="6" customFormat="false" ht="15" hidden="false" customHeight="false" outlineLevel="0" collapsed="false">
      <c r="A6" s="5" t="s">
        <v>111</v>
      </c>
      <c r="B6" s="31" t="n">
        <f aca="false">月次固定費!F23</f>
        <v>10.4230769230769</v>
      </c>
      <c r="C6" s="2"/>
    </row>
    <row r="8" customFormat="false" ht="15" hidden="false" customHeight="false" outlineLevel="0" collapsed="false">
      <c r="A8" s="5" t="s">
        <v>156</v>
      </c>
      <c r="B8" s="22" t="n">
        <f aca="false">前提!B14+前提!B15</f>
        <v>2800</v>
      </c>
      <c r="C8" s="2"/>
    </row>
    <row r="9" customFormat="false" ht="15" hidden="false" customHeight="false" outlineLevel="0" collapsed="false">
      <c r="A9" s="17" t="s">
        <v>157</v>
      </c>
      <c r="B9" s="22" t="n">
        <f aca="false">資金繰り!B23</f>
        <v>-29.6500000000001</v>
      </c>
      <c r="C9" s="2" t="s">
        <v>158</v>
      </c>
    </row>
    <row r="10" customFormat="false" ht="15" hidden="false" customHeight="false" outlineLevel="0" collapsed="false">
      <c r="A10" s="5" t="s">
        <v>148</v>
      </c>
      <c r="B10" s="6" t="str">
        <f aca="false">資金繰り!B24</f>
        <v>2027/9</v>
      </c>
      <c r="C10" s="2"/>
    </row>
    <row r="11" customFormat="false" ht="15" hidden="false" customHeight="false" outlineLevel="0" collapsed="false">
      <c r="A11" s="17" t="s">
        <v>159</v>
      </c>
      <c r="B11" s="22" t="n">
        <f aca="false">資金繰り!M21</f>
        <v>-29.6500000000001</v>
      </c>
      <c r="C11" s="2"/>
    </row>
    <row r="13" customFormat="false" ht="15" hidden="false" customHeight="false" outlineLevel="0" collapsed="false">
      <c r="A13" s="5" t="s">
        <v>160</v>
      </c>
      <c r="B13" s="22" t="n">
        <f aca="false">月次固定費!F20*前提!B18</f>
        <v>813</v>
      </c>
      <c r="C13" s="9" t="s">
        <v>161</v>
      </c>
    </row>
    <row r="14" customFormat="false" ht="15" hidden="false" customHeight="false" outlineLevel="0" collapsed="false">
      <c r="A14" s="20" t="s">
        <v>162</v>
      </c>
      <c r="B14" s="25" t="n">
        <f aca="false">MAX(0,月次固定費!F20*前提!B18-資金繰り!B23)</f>
        <v>842.65</v>
      </c>
      <c r="C14" s="2" t="s">
        <v>163</v>
      </c>
    </row>
    <row r="15" customFormat="false" ht="15" hidden="false" customHeight="false" outlineLevel="0" collapsed="false">
      <c r="A15" s="20" t="s">
        <v>164</v>
      </c>
      <c r="B15" s="32" t="n">
        <f aca="false">B8+B14</f>
        <v>3642.65</v>
      </c>
      <c r="C15" s="2" t="s">
        <v>165</v>
      </c>
    </row>
    <row r="18" customFormat="false" ht="15" hidden="false" customHeight="false" outlineLevel="0" collapsed="false">
      <c r="A18" s="3" t="s">
        <v>166</v>
      </c>
    </row>
    <row r="19" customFormat="false" ht="15" hidden="false" customHeight="false" outlineLevel="0" collapsed="false">
      <c r="A19" s="9" t="s">
        <v>167</v>
      </c>
    </row>
    <row r="20" customFormat="false" ht="15" hidden="false" customHeight="false" outlineLevel="0" collapsed="false">
      <c r="A20" s="9" t="s">
        <v>168</v>
      </c>
    </row>
    <row r="21" customFormat="false" ht="15" hidden="false" customHeight="false" outlineLevel="0" collapsed="false">
      <c r="A21" s="9" t="s">
        <v>169</v>
      </c>
    </row>
    <row r="22" customFormat="false" ht="15" hidden="false" customHeight="false" outlineLevel="0" collapsed="false">
      <c r="A22" s="9" t="s">
        <v>170</v>
      </c>
    </row>
    <row r="23" customFormat="false" ht="15" hidden="false" customHeight="false" outlineLevel="0" collapsed="false">
      <c r="A23" s="2"/>
    </row>
    <row r="24" customFormat="false" ht="15" hidden="false" customHeight="false" outlineLevel="0" collapsed="false">
      <c r="A24" s="2" t="s">
        <v>171</v>
      </c>
    </row>
    <row r="25" customFormat="false" ht="15" hidden="false" customHeight="false" outlineLevel="0" collapsed="false">
      <c r="A25" s="2" t="s">
        <v>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5"/>
  </cols>
  <sheetData>
    <row r="1" customFormat="false" ht="19.4" hidden="false" customHeight="false" outlineLevel="0" collapsed="false">
      <c r="A1" s="1" t="s">
        <v>173</v>
      </c>
    </row>
    <row r="2" customFormat="false" ht="15" hidden="false" customHeight="false" outlineLevel="0" collapsed="false">
      <c r="A2" s="2" t="s">
        <v>174</v>
      </c>
    </row>
    <row r="4" customFormat="false" ht="30" hidden="false" customHeight="true" outlineLevel="0" collapsed="false">
      <c r="B4" s="33" t="s">
        <v>175</v>
      </c>
      <c r="C4" s="33" t="s">
        <v>176</v>
      </c>
      <c r="D4" s="33" t="s">
        <v>177</v>
      </c>
      <c r="E4" s="33" t="s">
        <v>178</v>
      </c>
      <c r="F4" s="33" t="s">
        <v>179</v>
      </c>
    </row>
    <row r="5" customFormat="false" ht="15" hidden="false" customHeight="false" outlineLevel="0" collapsed="false">
      <c r="A5" s="5" t="s">
        <v>180</v>
      </c>
      <c r="B5" s="15" t="n">
        <v>35</v>
      </c>
      <c r="C5" s="15" t="n">
        <v>180</v>
      </c>
      <c r="D5" s="15" t="n">
        <v>380</v>
      </c>
      <c r="E5" s="15" t="n">
        <v>650</v>
      </c>
      <c r="F5" s="15" t="n">
        <v>950</v>
      </c>
    </row>
    <row r="6" customFormat="false" ht="15" hidden="false" customHeight="false" outlineLevel="0" collapsed="false">
      <c r="A6" s="5" t="s">
        <v>181</v>
      </c>
      <c r="B6" s="11" t="n">
        <v>48</v>
      </c>
      <c r="C6" s="11" t="n">
        <v>52</v>
      </c>
      <c r="D6" s="11" t="n">
        <v>56</v>
      </c>
      <c r="E6" s="11" t="n">
        <v>58</v>
      </c>
      <c r="F6" s="11" t="n">
        <v>62</v>
      </c>
    </row>
    <row r="7" customFormat="false" ht="15" hidden="false" customHeight="false" outlineLevel="0" collapsed="false">
      <c r="A7" s="17" t="s">
        <v>182</v>
      </c>
      <c r="B7" s="15" t="n">
        <v>22</v>
      </c>
      <c r="C7" s="15" t="n">
        <v>22</v>
      </c>
      <c r="D7" s="15" t="n">
        <v>21</v>
      </c>
      <c r="E7" s="15" t="n">
        <v>20</v>
      </c>
      <c r="F7" s="15" t="n">
        <v>19</v>
      </c>
    </row>
    <row r="8" customFormat="false" ht="15" hidden="false" customHeight="false" outlineLevel="0" collapsed="false">
      <c r="A8" s="5" t="s">
        <v>183</v>
      </c>
      <c r="B8" s="11" t="n">
        <v>0</v>
      </c>
      <c r="C8" s="11" t="n">
        <v>0</v>
      </c>
      <c r="D8" s="11" t="n">
        <v>2000</v>
      </c>
      <c r="E8" s="11" t="n">
        <v>8000</v>
      </c>
      <c r="F8" s="11" t="n">
        <v>20000</v>
      </c>
    </row>
    <row r="9" customFormat="false" ht="15" hidden="false" customHeight="false" outlineLevel="0" collapsed="false">
      <c r="A9" s="5" t="s">
        <v>184</v>
      </c>
      <c r="B9" s="12" t="n">
        <v>0.2</v>
      </c>
      <c r="C9" s="12" t="n">
        <v>0.2</v>
      </c>
      <c r="D9" s="12" t="n">
        <v>0.2</v>
      </c>
      <c r="E9" s="12" t="n">
        <v>0.2</v>
      </c>
      <c r="F9" s="12" t="n">
        <v>0.2</v>
      </c>
    </row>
    <row r="10" customFormat="false" ht="15" hidden="false" customHeight="false" outlineLevel="0" collapsed="false">
      <c r="A10" s="5" t="s">
        <v>185</v>
      </c>
      <c r="B10" s="15" t="n">
        <v>3</v>
      </c>
      <c r="C10" s="15" t="n">
        <v>8</v>
      </c>
      <c r="D10" s="15" t="n">
        <v>16</v>
      </c>
      <c r="E10" s="15" t="n">
        <v>26</v>
      </c>
      <c r="F10" s="15" t="n">
        <v>38</v>
      </c>
    </row>
    <row r="11" customFormat="false" ht="15" hidden="false" customHeight="false" outlineLevel="0" collapsed="false">
      <c r="A11" s="17" t="s">
        <v>186</v>
      </c>
      <c r="B11" s="11" t="n">
        <v>720</v>
      </c>
      <c r="C11" s="11" t="n">
        <v>720</v>
      </c>
      <c r="D11" s="11" t="n">
        <v>720</v>
      </c>
      <c r="E11" s="11" t="n">
        <v>720</v>
      </c>
      <c r="F11" s="11" t="n">
        <v>720</v>
      </c>
    </row>
    <row r="12" customFormat="false" ht="15" hidden="false" customHeight="false" outlineLevel="0" collapsed="false">
      <c r="A12" s="5" t="s">
        <v>187</v>
      </c>
      <c r="B12" s="12" t="n">
        <v>0.6</v>
      </c>
      <c r="C12" s="12" t="n">
        <v>0.7</v>
      </c>
      <c r="D12" s="12" t="n">
        <v>0.75</v>
      </c>
      <c r="E12" s="12" t="n">
        <v>0.8</v>
      </c>
      <c r="F12" s="12" t="n">
        <v>0.85</v>
      </c>
    </row>
    <row r="13" customFormat="false" ht="15" hidden="false" customHeight="false" outlineLevel="0" collapsed="false">
      <c r="A13" s="5" t="s">
        <v>188</v>
      </c>
      <c r="B13" s="11" t="n">
        <v>1100</v>
      </c>
      <c r="C13" s="11" t="n">
        <v>1500</v>
      </c>
      <c r="D13" s="11" t="n">
        <v>3000</v>
      </c>
      <c r="E13" s="11" t="n">
        <v>5000</v>
      </c>
      <c r="F13" s="11" t="n">
        <v>12000</v>
      </c>
    </row>
    <row r="15" customFormat="false" ht="15" hidden="false" customHeight="false" outlineLevel="0" collapsed="false">
      <c r="A15" s="5" t="s">
        <v>189</v>
      </c>
      <c r="B15" s="29" t="n">
        <f aca="false">B5*B6</f>
        <v>1680</v>
      </c>
      <c r="C15" s="29" t="n">
        <f aca="false">C5*C6</f>
        <v>9360</v>
      </c>
      <c r="D15" s="29" t="n">
        <f aca="false">D5*D6</f>
        <v>21280</v>
      </c>
      <c r="E15" s="29" t="n">
        <f aca="false">E5*E6</f>
        <v>37700</v>
      </c>
      <c r="F15" s="29" t="n">
        <f aca="false">F5*F6</f>
        <v>58900</v>
      </c>
    </row>
    <row r="16" customFormat="false" ht="15" hidden="false" customHeight="false" outlineLevel="0" collapsed="false">
      <c r="A16" s="5" t="s">
        <v>190</v>
      </c>
      <c r="B16" s="29" t="n">
        <f aca="false">B8</f>
        <v>0</v>
      </c>
      <c r="C16" s="29" t="n">
        <f aca="false">C8</f>
        <v>0</v>
      </c>
      <c r="D16" s="29" t="n">
        <f aca="false">D8</f>
        <v>2000</v>
      </c>
      <c r="E16" s="29" t="n">
        <f aca="false">E8</f>
        <v>8000</v>
      </c>
      <c r="F16" s="29" t="n">
        <f aca="false">F8</f>
        <v>20000</v>
      </c>
    </row>
    <row r="17" customFormat="false" ht="15" hidden="false" customHeight="false" outlineLevel="0" collapsed="false">
      <c r="A17" s="20" t="s">
        <v>135</v>
      </c>
      <c r="B17" s="23" t="n">
        <f aca="false">B15+B16</f>
        <v>1680</v>
      </c>
      <c r="C17" s="23" t="n">
        <f aca="false">C15+C16</f>
        <v>9360</v>
      </c>
      <c r="D17" s="23" t="n">
        <f aca="false">D15+D16</f>
        <v>23280</v>
      </c>
      <c r="E17" s="23" t="n">
        <f aca="false">E15+E16</f>
        <v>45700</v>
      </c>
      <c r="F17" s="23" t="n">
        <f aca="false">F15+F16</f>
        <v>78900</v>
      </c>
    </row>
    <row r="18" customFormat="false" ht="15" hidden="false" customHeight="false" outlineLevel="0" collapsed="false">
      <c r="A18" s="5" t="s">
        <v>191</v>
      </c>
      <c r="B18" s="29" t="n">
        <f aca="false">B5*B7+B8*B9</f>
        <v>770</v>
      </c>
      <c r="C18" s="29" t="n">
        <f aca="false">C5*C7+C8*C9</f>
        <v>3960</v>
      </c>
      <c r="D18" s="29" t="n">
        <f aca="false">D5*D7+D8*D9</f>
        <v>8380</v>
      </c>
      <c r="E18" s="29" t="n">
        <f aca="false">E5*E7+E8*E9</f>
        <v>14600</v>
      </c>
      <c r="F18" s="29" t="n">
        <f aca="false">F5*F7+F8*F9</f>
        <v>22050</v>
      </c>
    </row>
    <row r="19" customFormat="false" ht="15" hidden="false" customHeight="false" outlineLevel="0" collapsed="false">
      <c r="A19" s="20" t="s">
        <v>192</v>
      </c>
      <c r="B19" s="23" t="n">
        <f aca="false">B17-B18</f>
        <v>910</v>
      </c>
      <c r="C19" s="23" t="n">
        <f aca="false">C17-C18</f>
        <v>5400</v>
      </c>
      <c r="D19" s="23" t="n">
        <f aca="false">D17-D18</f>
        <v>14900</v>
      </c>
      <c r="E19" s="23" t="n">
        <f aca="false">E17-E18</f>
        <v>31100</v>
      </c>
      <c r="F19" s="23" t="n">
        <f aca="false">F17-F18</f>
        <v>56850</v>
      </c>
    </row>
    <row r="20" customFormat="false" ht="15" hidden="false" customHeight="false" outlineLevel="0" collapsed="false">
      <c r="A20" s="5" t="s">
        <v>52</v>
      </c>
      <c r="B20" s="34" t="n">
        <f aca="false">IF(B17=0,0,B19/B17)</f>
        <v>0.541666666666667</v>
      </c>
      <c r="C20" s="34" t="n">
        <f aca="false">IF(C17=0,0,C19/C17)</f>
        <v>0.576923076923077</v>
      </c>
      <c r="D20" s="34" t="n">
        <f aca="false">IF(D17=0,0,D19/D17)</f>
        <v>0.640034364261168</v>
      </c>
      <c r="E20" s="34" t="n">
        <f aca="false">IF(E17=0,0,E19/E17)</f>
        <v>0.680525164113786</v>
      </c>
      <c r="F20" s="34" t="n">
        <f aca="false">IF(F17=0,0,F19/F17)</f>
        <v>0.720532319391635</v>
      </c>
    </row>
    <row r="21" customFormat="false" ht="15" hidden="false" customHeight="false" outlineLevel="0" collapsed="false">
      <c r="A21" s="5" t="s">
        <v>193</v>
      </c>
      <c r="B21" s="29" t="n">
        <f aca="false">B10*B11*B12</f>
        <v>1296</v>
      </c>
      <c r="C21" s="29" t="n">
        <f aca="false">C10*C11*C12</f>
        <v>4032</v>
      </c>
      <c r="D21" s="29" t="n">
        <f aca="false">D10*D11*D12</f>
        <v>8640</v>
      </c>
      <c r="E21" s="29" t="n">
        <f aca="false">E10*E11*E12</f>
        <v>14976</v>
      </c>
      <c r="F21" s="29" t="n">
        <f aca="false">F10*F11*F12</f>
        <v>23256</v>
      </c>
    </row>
    <row r="22" customFormat="false" ht="15" hidden="false" customHeight="false" outlineLevel="0" collapsed="false">
      <c r="A22" s="5" t="s">
        <v>188</v>
      </c>
      <c r="B22" s="29" t="n">
        <f aca="false">B13</f>
        <v>1100</v>
      </c>
      <c r="C22" s="29" t="n">
        <f aca="false">C13</f>
        <v>1500</v>
      </c>
      <c r="D22" s="29" t="n">
        <f aca="false">D13</f>
        <v>3000</v>
      </c>
      <c r="E22" s="29" t="n">
        <f aca="false">E13</f>
        <v>5000</v>
      </c>
      <c r="F22" s="29" t="n">
        <f aca="false">F13</f>
        <v>12000</v>
      </c>
    </row>
    <row r="23" customFormat="false" ht="15" hidden="false" customHeight="false" outlineLevel="0" collapsed="false">
      <c r="A23" s="20" t="s">
        <v>194</v>
      </c>
      <c r="B23" s="23" t="n">
        <f aca="false">B21+B22</f>
        <v>2396</v>
      </c>
      <c r="C23" s="23" t="n">
        <f aca="false">C21+C22</f>
        <v>5532</v>
      </c>
      <c r="D23" s="23" t="n">
        <f aca="false">D21+D22</f>
        <v>11640</v>
      </c>
      <c r="E23" s="23" t="n">
        <f aca="false">E21+E22</f>
        <v>19976</v>
      </c>
      <c r="F23" s="23" t="n">
        <f aca="false">F21+F22</f>
        <v>35256</v>
      </c>
    </row>
    <row r="24" customFormat="false" ht="15" hidden="false" customHeight="false" outlineLevel="0" collapsed="false">
      <c r="A24" s="20" t="s">
        <v>195</v>
      </c>
      <c r="B24" s="24" t="n">
        <f aca="false">B19-B23</f>
        <v>-1486</v>
      </c>
      <c r="C24" s="24" t="n">
        <f aca="false">C19-C23</f>
        <v>-132</v>
      </c>
      <c r="D24" s="24" t="n">
        <f aca="false">D19-D23</f>
        <v>3260</v>
      </c>
      <c r="E24" s="24" t="n">
        <f aca="false">E19-E23</f>
        <v>11124</v>
      </c>
      <c r="F24" s="24" t="n">
        <f aca="false">F19-F23</f>
        <v>21594</v>
      </c>
    </row>
    <row r="25" customFormat="false" ht="15" hidden="false" customHeight="false" outlineLevel="0" collapsed="false">
      <c r="A25" s="5" t="s">
        <v>196</v>
      </c>
      <c r="B25" s="34" t="n">
        <f aca="false">IF(B17=0,0,B24/B17)</f>
        <v>-0.88452380952381</v>
      </c>
      <c r="C25" s="34" t="n">
        <f aca="false">IF(C17=0,0,C24/C17)</f>
        <v>-0.0141025641025641</v>
      </c>
      <c r="D25" s="34" t="n">
        <f aca="false">IF(D17=0,0,D24/D17)</f>
        <v>0.140034364261168</v>
      </c>
      <c r="E25" s="34" t="n">
        <f aca="false">IF(E17=0,0,E24/E17)</f>
        <v>0.243413566739606</v>
      </c>
      <c r="F25" s="34" t="n">
        <f aca="false">IF(F17=0,0,F24/F17)</f>
        <v>0.273688212927757</v>
      </c>
    </row>
    <row r="27" customFormat="false" ht="15" hidden="false" customHeight="false" outlineLevel="0" collapsed="false">
      <c r="A27" s="5" t="s">
        <v>197</v>
      </c>
      <c r="B27" s="35" t="n">
        <f aca="false">IF(B17=0,0,B16/B17)</f>
        <v>0</v>
      </c>
      <c r="C27" s="35" t="n">
        <f aca="false">IF(C17=0,0,C16/C17)</f>
        <v>0</v>
      </c>
      <c r="D27" s="35" t="n">
        <f aca="false">IF(D17=0,0,D16/D17)</f>
        <v>0.0859106529209622</v>
      </c>
      <c r="E27" s="35" t="n">
        <f aca="false">IF(E17=0,0,E16/E17)</f>
        <v>0.175054704595186</v>
      </c>
      <c r="F27" s="35" t="n">
        <f aca="false">IF(F17=0,0,F16/F17)</f>
        <v>0.253485424588086</v>
      </c>
    </row>
    <row r="28" customFormat="false" ht="15" hidden="false" customHeight="false" outlineLevel="0" collapsed="false">
      <c r="A28" s="17" t="s">
        <v>198</v>
      </c>
      <c r="B28" s="29" t="n">
        <f aca="false">IF(B10=0,0,B17/B10)</f>
        <v>560</v>
      </c>
      <c r="C28" s="29" t="n">
        <f aca="false">IF(C10=0,0,C17/C10)</f>
        <v>1170</v>
      </c>
      <c r="D28" s="29" t="n">
        <f aca="false">IF(D10=0,0,D17/D10)</f>
        <v>1455</v>
      </c>
      <c r="E28" s="29" t="n">
        <f aca="false">IF(E10=0,0,E17/E10)</f>
        <v>1757.69230769231</v>
      </c>
      <c r="F28" s="29" t="n">
        <f aca="false">IF(F10=0,0,F17/F10)</f>
        <v>2076.31578947368</v>
      </c>
    </row>
    <row r="30" customFormat="false" ht="15" hidden="false" customHeight="false" outlineLevel="0" collapsed="false">
      <c r="A30" s="9" t="s">
        <v>199</v>
      </c>
    </row>
    <row r="31" customFormat="false" ht="15" hidden="false" customHeight="false" outlineLevel="0" collapsed="false">
      <c r="A31" s="2" t="s">
        <v>200</v>
      </c>
    </row>
    <row r="32" customFormat="false" ht="15" hidden="false" customHeight="false" outlineLevel="0" collapsed="false">
      <c r="A32" s="2" t="s">
        <v>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2026-09-07T02:13:17Z</dcterms:created>
  <dc:creator>openpyxl</dc:creator>
  <dc:description/>
  <dc:language>en-US</dc:language>
  <cp:lastModifiedBy/>
  <dcterms:modified xsi:type="dcterms:W3CDTF">2026-09-07T02:13:17Z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