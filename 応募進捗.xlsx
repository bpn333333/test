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応募一覧" sheetId="1" state="visible" r:id="rId1"/>
    <sheet name="エージェント・登録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sz val="14"/>
    </font>
    <font>
      <name val="Meiryo"/>
      <color rgb="00666666"/>
      <sz val="9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Meiryo"/>
      <b val="1"/>
      <color rgb="00A5382A"/>
      <sz val="10"/>
    </font>
  </fonts>
  <fills count="5">
    <fill>
      <patternFill/>
    </fill>
    <fill>
      <patternFill patternType="gray125"/>
    </fill>
    <fill>
      <patternFill patternType="solid">
        <fgColor rgb="00EDF1F5"/>
      </patternFill>
    </fill>
    <fill>
      <patternFill patternType="solid">
        <fgColor rgb="0023417A"/>
      </patternFill>
    </fill>
    <fill>
      <patternFill patternType="solid">
        <fgColor rgb="00FAF2DF"/>
      </patternFill>
    </fill>
  </fills>
  <borders count="2">
    <border>
      <left/>
      <right/>
      <top/>
      <bottom/>
      <diagonal/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/>
    </xf>
    <xf numFmtId="0" fontId="4" fillId="2" borderId="1" applyAlignment="1" pivotButton="0" quotePrefix="0" xfId="0">
      <alignment vertical="top" wrapText="1"/>
    </xf>
    <xf numFmtId="0" fontId="4" fillId="0" borderId="1" pivotButton="0" quotePrefix="0" xfId="0"/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46" customWidth="1" min="3" max="3"/>
    <col width="18" customWidth="1" min="4" max="4"/>
    <col width="16" customWidth="1" min="5" max="5"/>
    <col width="15" customWidth="1" min="6" max="6"/>
    <col width="16" customWidth="1" min="7" max="7"/>
    <col width="12" customWidth="1" min="8" max="8"/>
    <col width="12" customWidth="1" min="9" max="9"/>
    <col width="13" customWidth="1" min="10" max="10"/>
    <col width="26" customWidth="1" min="11" max="11"/>
    <col width="11" customWidth="1" min="12" max="12"/>
  </cols>
  <sheetData>
    <row r="1">
      <c r="A1" s="1" t="inlineStr">
        <is>
          <t>応募パイプライン</t>
        </is>
      </c>
    </row>
    <row r="2">
      <c r="A2" s="2" t="inlineStr">
        <is>
          <t>不採用になった案件は行ごと削除する。生きている案件だけを残す。</t>
        </is>
      </c>
    </row>
    <row r="4">
      <c r="A4" s="3" t="inlineStr">
        <is>
          <t>集計</t>
        </is>
      </c>
    </row>
    <row r="5">
      <c r="B5" s="4" t="inlineStr">
        <is>
          <t>選考中</t>
        </is>
      </c>
      <c r="C5" s="4" t="inlineStr">
        <is>
          <t>面談調整中</t>
        </is>
      </c>
      <c r="D5" s="4" t="inlineStr">
        <is>
          <t>面談済</t>
        </is>
      </c>
      <c r="E5" s="4" t="inlineStr">
        <is>
          <t>締結</t>
        </is>
      </c>
      <c r="F5" s="4" t="inlineStr">
        <is>
          <t>合計</t>
        </is>
      </c>
    </row>
    <row r="6">
      <c r="B6" s="5">
        <f>COUNTIF($J$9:$J$200,"選考中")</f>
        <v/>
      </c>
      <c r="C6" s="5">
        <f>COUNTIF($J$9:$J$200,"面談調整中")</f>
        <v/>
      </c>
      <c r="D6" s="5">
        <f>COUNTIF($J$9:$J$200,"面談済")</f>
        <v/>
      </c>
      <c r="E6" s="5">
        <f>COUNTIF($J$9:$J$200,"締結")</f>
        <v/>
      </c>
      <c r="F6" s="6">
        <f>COUNTA($C$9:$C$200)</f>
        <v/>
      </c>
    </row>
    <row r="8" ht="22" customHeight="1">
      <c r="A8" s="7" t="inlineStr">
        <is>
          <t>媒体</t>
        </is>
      </c>
      <c r="B8" s="7" t="inlineStr">
        <is>
          <t>ID</t>
        </is>
      </c>
      <c r="C8" s="7" t="inlineStr">
        <is>
          <t>案件名</t>
        </is>
      </c>
      <c r="D8" s="7" t="inlineStr">
        <is>
          <t>企業</t>
        </is>
      </c>
      <c r="E8" s="7" t="inlineStr">
        <is>
          <t>提示単価</t>
        </is>
      </c>
      <c r="F8" s="7" t="inlineStr">
        <is>
          <t>時給換算</t>
        </is>
      </c>
      <c r="G8" s="7" t="inlineStr">
        <is>
          <t>稼働</t>
        </is>
      </c>
      <c r="H8" s="7" t="inlineStr">
        <is>
          <t>勤務</t>
        </is>
      </c>
      <c r="I8" s="7" t="inlineStr">
        <is>
          <t>応募日</t>
        </is>
      </c>
      <c r="J8" s="7" t="inlineStr">
        <is>
          <t>ステータス</t>
        </is>
      </c>
      <c r="K8" s="7" t="inlineStr">
        <is>
          <t>次アクション</t>
        </is>
      </c>
      <c r="L8" s="7" t="inlineStr">
        <is>
          <t>更新日</t>
        </is>
      </c>
    </row>
    <row r="9">
      <c r="A9" s="8" t="inlineStr">
        <is>
          <t>HiPro</t>
        </is>
      </c>
      <c r="B9" s="8" t="inlineStr">
        <is>
          <t>20504</t>
        </is>
      </c>
      <c r="C9" s="9" t="inlineStr">
        <is>
          <t>Ballista 米国市場展開GTM</t>
        </is>
      </c>
      <c r="D9" s="8" t="inlineStr">
        <is>
          <t>Ballista</t>
        </is>
      </c>
      <c r="E9" s="8" t="inlineStr">
        <is>
          <t>月120万〜</t>
        </is>
      </c>
      <c r="F9" s="8" t="inlineStr">
        <is>
          <t>¥12,500〜15,000</t>
        </is>
      </c>
      <c r="G9" s="8" t="inlineStr">
        <is>
          <t>週2〜3日</t>
        </is>
      </c>
      <c r="H9" s="8" t="inlineStr">
        <is>
          <t>リモート</t>
        </is>
      </c>
      <c r="I9" s="8" t="inlineStr">
        <is>
          <t>8/9-8/10</t>
        </is>
      </c>
      <c r="J9" s="8" t="inlineStr">
        <is>
          <t>選考中</t>
        </is>
      </c>
      <c r="K9" s="9" t="inlineStr"/>
      <c r="L9" s="8" t="inlineStr"/>
    </row>
    <row r="10">
      <c r="A10" s="10" t="inlineStr">
        <is>
          <t>HiPro</t>
        </is>
      </c>
      <c r="B10" s="10" t="inlineStr">
        <is>
          <t>20756</t>
        </is>
      </c>
      <c r="C10" s="11" t="inlineStr">
        <is>
          <t>大手SIer事業部 中期経営計画・グランドデザイン策定</t>
        </is>
      </c>
      <c r="D10" s="10" t="inlineStr">
        <is>
          <t>WINWILL</t>
        </is>
      </c>
      <c r="E10" s="10" t="inlineStr">
        <is>
          <t>上限180万/100%稼働</t>
        </is>
      </c>
      <c r="F10" s="10" t="inlineStr">
        <is>
          <t>¥11,250</t>
        </is>
      </c>
      <c r="G10" s="10" t="inlineStr">
        <is>
          <t>稼働率20〜40%</t>
        </is>
      </c>
      <c r="H10" s="10" t="inlineStr">
        <is>
          <t>—</t>
        </is>
      </c>
      <c r="I10" s="10" t="inlineStr">
        <is>
          <t>8/10</t>
        </is>
      </c>
      <c r="J10" s="10" t="inlineStr">
        <is>
          <t>選考中</t>
        </is>
      </c>
      <c r="K10" s="11" t="inlineStr">
        <is>
          <t>経歴書 受領確認済(8/10)。選考待ち</t>
        </is>
      </c>
      <c r="L10" s="10" t="inlineStr"/>
    </row>
    <row r="11">
      <c r="A11" s="8" t="inlineStr">
        <is>
          <t>HiPro</t>
        </is>
      </c>
      <c r="B11" s="8" t="inlineStr">
        <is>
          <t>20557</t>
        </is>
      </c>
      <c r="C11" s="9" t="inlineStr">
        <is>
          <t>医療AI構想策定</t>
        </is>
      </c>
      <c r="D11" s="8" t="inlineStr">
        <is>
          <t>Ballista</t>
        </is>
      </c>
      <c r="E11" s="8" t="inlineStr">
        <is>
          <t>月100〜170万</t>
        </is>
      </c>
      <c r="F11" s="8" t="inlineStr">
        <is>
          <t>¥10,000〜</t>
        </is>
      </c>
      <c r="G11" s="8" t="inlineStr">
        <is>
          <t>月100h〜</t>
        </is>
      </c>
      <c r="H11" s="8" t="inlineStr">
        <is>
          <t>—</t>
        </is>
      </c>
      <c r="I11" s="8" t="inlineStr">
        <is>
          <t>8/9-8/10</t>
        </is>
      </c>
      <c r="J11" s="8" t="inlineStr">
        <is>
          <t>選考中</t>
        </is>
      </c>
      <c r="K11" s="9" t="inlineStr"/>
      <c r="L11" s="8" t="inlineStr"/>
    </row>
    <row r="12">
      <c r="A12" s="10" t="inlineStr">
        <is>
          <t>SOKUDAN</t>
        </is>
      </c>
      <c r="B12" s="10" t="inlineStr">
        <is>
          <t>20052</t>
        </is>
      </c>
      <c r="C12" s="11" t="inlineStr">
        <is>
          <t>新リース会計 要件定義PMO</t>
        </is>
      </c>
      <c r="D12" s="10" t="inlineStr">
        <is>
          <t>—</t>
        </is>
      </c>
      <c r="E12" s="10" t="inlineStr">
        <is>
          <t>月120〜135万</t>
        </is>
      </c>
      <c r="F12" s="10" t="inlineStr">
        <is>
          <t>¥7,500〜8,438</t>
        </is>
      </c>
      <c r="G12" s="10" t="inlineStr">
        <is>
          <t>週5日</t>
        </is>
      </c>
      <c r="H12" s="10" t="inlineStr">
        <is>
          <t>副業不可</t>
        </is>
      </c>
      <c r="I12" s="10" t="inlineStr">
        <is>
          <t>8/9-8/10</t>
        </is>
      </c>
      <c r="J12" s="10" t="inlineStr">
        <is>
          <t>選考中</t>
        </is>
      </c>
      <c r="K12" s="11" t="inlineStr">
        <is>
          <t>10/1専任開始</t>
        </is>
      </c>
      <c r="L12" s="10" t="inlineStr"/>
    </row>
    <row r="13">
      <c r="A13" s="8" t="inlineStr">
        <is>
          <t>SOKUDAN</t>
        </is>
      </c>
      <c r="B13" s="8" t="inlineStr">
        <is>
          <t>19653</t>
        </is>
      </c>
      <c r="C13" s="9" t="inlineStr">
        <is>
          <t>AIエージェント導入〜定着コンサル</t>
        </is>
      </c>
      <c r="D13" s="8" t="inlineStr">
        <is>
          <t>—</t>
        </is>
      </c>
      <c r="E13" s="8" t="inlineStr">
        <is>
          <t>1.0人月90〜120万</t>
        </is>
      </c>
      <c r="F13" s="8" t="inlineStr">
        <is>
          <t>¥5,625〜7,500</t>
        </is>
      </c>
      <c r="G13" s="8" t="inlineStr">
        <is>
          <t>0.8人月</t>
        </is>
      </c>
      <c r="H13" s="8" t="inlineStr">
        <is>
          <t>—</t>
        </is>
      </c>
      <c r="I13" s="8" t="inlineStr">
        <is>
          <t>8/9-8/10</t>
        </is>
      </c>
      <c r="J13" s="8" t="inlineStr">
        <is>
          <t>選考中</t>
        </is>
      </c>
      <c r="K13" s="9" t="inlineStr">
        <is>
          <t>0.8人月が水曜NGと一致</t>
        </is>
      </c>
      <c r="L13" s="8" t="inlineStr"/>
    </row>
    <row r="14">
      <c r="A14" s="10" t="inlineStr">
        <is>
          <t>SOKUDAN</t>
        </is>
      </c>
      <c r="B14" s="10" t="inlineStr">
        <is>
          <t>19980</t>
        </is>
      </c>
      <c r="C14" s="11" t="inlineStr">
        <is>
          <t>ネット証券AI制作WF 横断PM</t>
        </is>
      </c>
      <c r="D14" s="10" t="inlineStr">
        <is>
          <t>—</t>
        </is>
      </c>
      <c r="E14" s="10" t="inlineStr">
        <is>
          <t>月90〜100万</t>
        </is>
      </c>
      <c r="F14" s="10" t="inlineStr">
        <is>
          <t>¥5,625〜6,250</t>
        </is>
      </c>
      <c r="G14" s="10" t="inlineStr">
        <is>
          <t>週5日</t>
        </is>
      </c>
      <c r="H14" s="10" t="inlineStr">
        <is>
          <t>一部常駐</t>
        </is>
      </c>
      <c r="I14" s="10" t="inlineStr">
        <is>
          <t>8/9-8/10</t>
        </is>
      </c>
      <c r="J14" s="10" t="inlineStr">
        <is>
          <t>選考中</t>
        </is>
      </c>
      <c r="K14" s="11" t="inlineStr">
        <is>
          <t>10/1開始</t>
        </is>
      </c>
      <c r="L14" s="10" t="inlineStr"/>
    </row>
    <row r="15">
      <c r="A15" s="8" t="inlineStr">
        <is>
          <t>SOKUDAN</t>
        </is>
      </c>
      <c r="B15" s="8" t="inlineStr">
        <is>
          <t>19986</t>
        </is>
      </c>
      <c r="C15" s="9" t="inlineStr">
        <is>
          <t>【AI×金融】FDE（ClaudeCode）</t>
        </is>
      </c>
      <c r="D15" s="8" t="inlineStr">
        <is>
          <t>—</t>
        </is>
      </c>
      <c r="E15" s="8" t="inlineStr">
        <is>
          <t>月100〜150万</t>
        </is>
      </c>
      <c r="F15" s="8" t="inlineStr">
        <is>
          <t>¥6,250</t>
        </is>
      </c>
      <c r="G15" s="8" t="inlineStr">
        <is>
          <t>週5日</t>
        </is>
      </c>
      <c r="H15" s="8" t="inlineStr">
        <is>
          <t>—</t>
        </is>
      </c>
      <c r="I15" s="8" t="inlineStr">
        <is>
          <t>8/9-8/10</t>
        </is>
      </c>
      <c r="J15" s="8" t="inlineStr">
        <is>
          <t>選考中</t>
        </is>
      </c>
      <c r="K15" s="9" t="inlineStr">
        <is>
          <t>3点回答 提出済</t>
        </is>
      </c>
      <c r="L15" s="8" t="inlineStr"/>
    </row>
    <row r="16">
      <c r="A16" s="10" t="inlineStr">
        <is>
          <t>SOKUDAN</t>
        </is>
      </c>
      <c r="B16" s="10" t="inlineStr">
        <is>
          <t>19129</t>
        </is>
      </c>
      <c r="C16" s="11" t="inlineStr">
        <is>
          <t>AI推進PM（Claude Code）</t>
        </is>
      </c>
      <c r="D16" s="10" t="inlineStr">
        <is>
          <t>—</t>
        </is>
      </c>
      <c r="E16" s="10" t="inlineStr">
        <is>
          <t>月100〜150万</t>
        </is>
      </c>
      <c r="F16" s="10" t="inlineStr">
        <is>
          <t>¥6,250</t>
        </is>
      </c>
      <c r="G16" s="10" t="inlineStr">
        <is>
          <t>週5日</t>
        </is>
      </c>
      <c r="H16" s="10" t="inlineStr">
        <is>
          <t>—</t>
        </is>
      </c>
      <c r="I16" s="10" t="inlineStr">
        <is>
          <t>8/9-8/10</t>
        </is>
      </c>
      <c r="J16" s="10" t="inlineStr">
        <is>
          <t>選考中</t>
        </is>
      </c>
      <c r="K16" s="11" t="inlineStr"/>
      <c r="L16" s="10" t="inlineStr"/>
    </row>
    <row r="17">
      <c r="A17" s="8" t="inlineStr">
        <is>
          <t>SOKUDAN</t>
        </is>
      </c>
      <c r="B17" s="8" t="inlineStr">
        <is>
          <t>19982</t>
        </is>
      </c>
      <c r="C17" s="9" t="inlineStr">
        <is>
          <t>対話で進めるAI導入PM</t>
        </is>
      </c>
      <c r="D17" s="8" t="inlineStr">
        <is>
          <t>—</t>
        </is>
      </c>
      <c r="E17" s="8" t="inlineStr">
        <is>
          <t>月100〜150万</t>
        </is>
      </c>
      <c r="F17" s="8" t="inlineStr">
        <is>
          <t>¥6,250</t>
        </is>
      </c>
      <c r="G17" s="8" t="inlineStr">
        <is>
          <t>週5日</t>
        </is>
      </c>
      <c r="H17" s="8" t="inlineStr">
        <is>
          <t>—</t>
        </is>
      </c>
      <c r="I17" s="8" t="inlineStr">
        <is>
          <t>8/9-8/10</t>
        </is>
      </c>
      <c r="J17" s="8" t="inlineStr">
        <is>
          <t>選考中</t>
        </is>
      </c>
      <c r="K17" s="9" t="inlineStr">
        <is>
          <t>9月は週3〜4日で提案</t>
        </is>
      </c>
      <c r="L17" s="8" t="inlineStr"/>
    </row>
    <row r="18">
      <c r="A18" s="10" t="inlineStr">
        <is>
          <t>SOKUDAN</t>
        </is>
      </c>
      <c r="B18" s="10" t="inlineStr">
        <is>
          <t>19291</t>
        </is>
      </c>
      <c r="C18" s="11" t="inlineStr">
        <is>
          <t>CRM/MAストラテジスト</t>
        </is>
      </c>
      <c r="D18" s="10" t="inlineStr">
        <is>
          <t>—</t>
        </is>
      </c>
      <c r="E18" s="10" t="inlineStr">
        <is>
          <t>80〜100万(100%稼働)</t>
        </is>
      </c>
      <c r="F18" s="10" t="inlineStr">
        <is>
          <t>¥5,000〜6,250</t>
        </is>
      </c>
      <c r="G18" s="10" t="inlineStr">
        <is>
          <t>月50h</t>
        </is>
      </c>
      <c r="H18" s="10" t="inlineStr">
        <is>
          <t>—</t>
        </is>
      </c>
      <c r="I18" s="10" t="inlineStr">
        <is>
          <t>8/9-8/10</t>
        </is>
      </c>
      <c r="J18" s="10" t="inlineStr">
        <is>
          <t>選考中</t>
        </is>
      </c>
      <c r="K18" s="11" t="inlineStr"/>
      <c r="L18" s="10" t="inlineStr"/>
    </row>
    <row r="19">
      <c r="A19" s="8" t="inlineStr">
        <is>
          <t>SOKUDAN</t>
        </is>
      </c>
      <c r="B19" s="8" t="inlineStr">
        <is>
          <t>19520</t>
        </is>
      </c>
      <c r="C19" s="9" t="inlineStr">
        <is>
          <t>デジタルマーケ伴走</t>
        </is>
      </c>
      <c r="D19" s="8" t="inlineStr">
        <is>
          <t>—</t>
        </is>
      </c>
      <c r="E19" s="8" t="inlineStr">
        <is>
          <t>80〜100万(100%稼働)</t>
        </is>
      </c>
      <c r="F19" s="8" t="inlineStr">
        <is>
          <t>¥5,000〜6,250</t>
        </is>
      </c>
      <c r="G19" s="8" t="inlineStr">
        <is>
          <t>週20h〜</t>
        </is>
      </c>
      <c r="H19" s="8" t="inlineStr">
        <is>
          <t>—</t>
        </is>
      </c>
      <c r="I19" s="8" t="inlineStr">
        <is>
          <t>8/9-8/10</t>
        </is>
      </c>
      <c r="J19" s="8" t="inlineStr">
        <is>
          <t>選考中</t>
        </is>
      </c>
      <c r="K19" s="9" t="inlineStr"/>
      <c r="L19" s="8" t="inlineStr"/>
    </row>
    <row r="20">
      <c r="A20" s="10" t="inlineStr">
        <is>
          <t>HiPro</t>
        </is>
      </c>
      <c r="B20" s="10" t="inlineStr">
        <is>
          <t>PDOLE</t>
        </is>
      </c>
      <c r="C20" s="11" t="inlineStr">
        <is>
          <t>GTM設計・営業企画リード</t>
        </is>
      </c>
      <c r="D20" s="10" t="inlineStr">
        <is>
          <t>PDOLE</t>
        </is>
      </c>
      <c r="E20" s="10" t="inlineStr">
        <is>
          <t>月25〜90万</t>
        </is>
      </c>
      <c r="F20" s="10" t="inlineStr">
        <is>
          <t>¥3,125〜11,250</t>
        </is>
      </c>
      <c r="G20" s="10" t="inlineStr">
        <is>
          <t>週3日〜</t>
        </is>
      </c>
      <c r="H20" s="10" t="inlineStr">
        <is>
          <t>—</t>
        </is>
      </c>
      <c r="I20" s="10" t="inlineStr">
        <is>
          <t>8/9-8/10</t>
        </is>
      </c>
      <c r="J20" s="10" t="inlineStr">
        <is>
          <t>選考中</t>
        </is>
      </c>
      <c r="K20" s="11" t="inlineStr">
        <is>
          <t>9/1開始</t>
        </is>
      </c>
      <c r="L20" s="10" t="inlineStr"/>
    </row>
    <row r="21">
      <c r="A21" s="8" t="inlineStr">
        <is>
          <t>HiPro</t>
        </is>
      </c>
      <c r="B21" s="8" t="inlineStr">
        <is>
          <t>18972</t>
        </is>
      </c>
      <c r="C21" s="9" t="inlineStr">
        <is>
          <t>組織人事コンサルタント</t>
        </is>
      </c>
      <c r="D21" s="8" t="inlineStr">
        <is>
          <t>CAQNAL</t>
        </is>
      </c>
      <c r="E21" s="8" t="inlineStr">
        <is>
          <t>時給5,000円〜応相談</t>
        </is>
      </c>
      <c r="F21" s="8" t="inlineStr">
        <is>
          <t>¥5,000</t>
        </is>
      </c>
      <c r="G21" s="8" t="inlineStr">
        <is>
          <t>月30h〜</t>
        </is>
      </c>
      <c r="H21" s="8" t="inlineStr">
        <is>
          <t>リモート</t>
        </is>
      </c>
      <c r="I21" s="8" t="inlineStr">
        <is>
          <t>8/11</t>
        </is>
      </c>
      <c r="J21" s="8" t="inlineStr">
        <is>
          <t>選考中</t>
        </is>
      </c>
      <c r="K21" s="9" t="inlineStr">
        <is>
          <t>顧問枠の本命</t>
        </is>
      </c>
      <c r="L21" s="8" t="inlineStr"/>
    </row>
    <row r="22">
      <c r="A22" s="10" t="inlineStr">
        <is>
          <t>HiPro</t>
        </is>
      </c>
      <c r="B22" s="10" t="inlineStr">
        <is>
          <t>20853</t>
        </is>
      </c>
      <c r="C22" s="11" t="inlineStr">
        <is>
          <t>案件PM（人事制度・組織戦略）</t>
        </is>
      </c>
      <c r="D22" s="10" t="inlineStr">
        <is>
          <t>CAQNAL</t>
        </is>
      </c>
      <c r="E22" s="10" t="inlineStr">
        <is>
          <t>月5万〜応相談</t>
        </is>
      </c>
      <c r="F22" s="10" t="inlineStr">
        <is>
          <t>時給5,000で提示</t>
        </is>
      </c>
      <c r="G22" s="10" t="inlineStr">
        <is>
          <t>月10〜30h</t>
        </is>
      </c>
      <c r="H22" s="10" t="inlineStr">
        <is>
          <t>リモート</t>
        </is>
      </c>
      <c r="I22" s="10" t="inlineStr">
        <is>
          <t>8/11</t>
        </is>
      </c>
      <c r="J22" s="10" t="inlineStr">
        <is>
          <t>選考中</t>
        </is>
      </c>
      <c r="K22" s="11" t="inlineStr">
        <is>
          <t>18972と同一社</t>
        </is>
      </c>
      <c r="L22" s="10" t="inlineStr"/>
    </row>
    <row r="23">
      <c r="A23" s="8" t="inlineStr">
        <is>
          <t>HiPro</t>
        </is>
      </c>
      <c r="B23" s="8" t="inlineStr">
        <is>
          <t>20730</t>
        </is>
      </c>
      <c r="C23" s="9" t="inlineStr">
        <is>
          <t>生成AI活用アドバイザー</t>
        </is>
      </c>
      <c r="D23" s="8" t="inlineStr">
        <is>
          <t>南大阪興業</t>
        </is>
      </c>
      <c r="E23" s="8" t="inlineStr">
        <is>
          <t>月5万〜応相談</t>
        </is>
      </c>
      <c r="F23" s="8" t="inlineStr">
        <is>
          <t>時給5,000で提示</t>
        </is>
      </c>
      <c r="G23" s="8" t="inlineStr">
        <is>
          <t>月10〜20h</t>
        </is>
      </c>
      <c r="H23" s="8" t="inlineStr">
        <is>
          <t>リモート</t>
        </is>
      </c>
      <c r="I23" s="8" t="inlineStr">
        <is>
          <t>8/11</t>
        </is>
      </c>
      <c r="J23" s="8" t="inlineStr">
        <is>
          <t>選考中</t>
        </is>
      </c>
      <c r="K23" s="9" t="inlineStr"/>
      <c r="L23" s="8" t="inlineStr"/>
    </row>
    <row r="24">
      <c r="A24" s="10" t="inlineStr">
        <is>
          <t>HiPro</t>
        </is>
      </c>
      <c r="B24" s="10" t="inlineStr">
        <is>
          <t>20130</t>
        </is>
      </c>
      <c r="C24" s="11" t="inlineStr">
        <is>
          <t>業務改善・DX推進パートナー</t>
        </is>
      </c>
      <c r="D24" s="10" t="inlineStr">
        <is>
          <t>TOIRO</t>
        </is>
      </c>
      <c r="E24" s="10" t="inlineStr">
        <is>
          <t>月5万〜応相談</t>
        </is>
      </c>
      <c r="F24" s="10" t="inlineStr">
        <is>
          <t>時給5,000で提示</t>
        </is>
      </c>
      <c r="G24" s="10" t="inlineStr">
        <is>
          <t>月10〜20h</t>
        </is>
      </c>
      <c r="H24" s="10" t="inlineStr">
        <is>
          <t>リモート</t>
        </is>
      </c>
      <c r="I24" s="10" t="inlineStr">
        <is>
          <t>8/11</t>
        </is>
      </c>
      <c r="J24" s="10" t="inlineStr">
        <is>
          <t>選考中</t>
        </is>
      </c>
      <c r="K24" s="11" t="inlineStr"/>
      <c r="L24" s="10" t="inlineStr"/>
    </row>
    <row r="25">
      <c r="A25" s="8" t="inlineStr">
        <is>
          <t>HiPro</t>
        </is>
      </c>
      <c r="B25" s="8" t="inlineStr">
        <is>
          <t>20940</t>
        </is>
      </c>
      <c r="C25" s="9" t="inlineStr">
        <is>
          <t>請求書・見積書・顧客管理の仕組み化</t>
        </is>
      </c>
      <c r="D25" s="8" t="inlineStr">
        <is>
          <t>松岡工業</t>
        </is>
      </c>
      <c r="E25" s="8" t="inlineStr">
        <is>
          <t>月5万〜応相談</t>
        </is>
      </c>
      <c r="F25" s="8" t="inlineStr">
        <is>
          <t>時給5,000で提示</t>
        </is>
      </c>
      <c r="G25" s="8" t="inlineStr">
        <is>
          <t>月10〜20h</t>
        </is>
      </c>
      <c r="H25" s="8" t="inlineStr">
        <is>
          <t>リモート</t>
        </is>
      </c>
      <c r="I25" s="8" t="inlineStr">
        <is>
          <t>8/11</t>
        </is>
      </c>
      <c r="J25" s="8" t="inlineStr">
        <is>
          <t>選考中</t>
        </is>
      </c>
      <c r="K25" s="9" t="inlineStr"/>
      <c r="L25" s="8" t="inlineStr"/>
    </row>
    <row r="26">
      <c r="A26" s="10" t="inlineStr">
        <is>
          <t>HiPro</t>
        </is>
      </c>
      <c r="B26" s="10" t="inlineStr">
        <is>
          <t>20075</t>
        </is>
      </c>
      <c r="C26" s="11" t="inlineStr">
        <is>
          <t>案件別収益の見える化</t>
        </is>
      </c>
      <c r="D26" s="10" t="inlineStr">
        <is>
          <t>FACT</t>
        </is>
      </c>
      <c r="E26" s="10" t="inlineStr">
        <is>
          <t>月5万〜応相談</t>
        </is>
      </c>
      <c r="F26" s="10" t="inlineStr">
        <is>
          <t>時給5,000で提示</t>
        </is>
      </c>
      <c r="G26" s="10" t="inlineStr">
        <is>
          <t>月10〜20h</t>
        </is>
      </c>
      <c r="H26" s="10" t="inlineStr">
        <is>
          <t>リモート</t>
        </is>
      </c>
      <c r="I26" s="10" t="inlineStr">
        <is>
          <t>8/11</t>
        </is>
      </c>
      <c r="J26" s="10" t="inlineStr">
        <is>
          <t>選考中</t>
        </is>
      </c>
      <c r="K26" s="11" t="inlineStr">
        <is>
          <t>個人名義契約（法人契約NG）</t>
        </is>
      </c>
      <c r="L26" s="10" t="inlineStr"/>
    </row>
    <row r="27">
      <c r="A27" s="8" t="inlineStr">
        <is>
          <t>ビザスク</t>
        </is>
      </c>
      <c r="B27" s="8" t="inlineStr">
        <is>
          <t>1549</t>
        </is>
      </c>
      <c r="C27" s="9" t="inlineStr">
        <is>
          <t>新規HRサービス：エージェント向け送客サービスの責任者</t>
        </is>
      </c>
      <c r="D27" s="8" t="inlineStr">
        <is>
          <t>Crown Cat</t>
        </is>
      </c>
      <c r="E27" s="8" t="inlineStr">
        <is>
          <t>月30〜50万</t>
        </is>
      </c>
      <c r="F27" s="8" t="inlineStr">
        <is>
          <t>¥4,330〜14,434</t>
        </is>
      </c>
      <c r="G27" s="8" t="inlineStr">
        <is>
          <t>週8h〜</t>
        </is>
      </c>
      <c r="H27" s="8" t="inlineStr">
        <is>
          <t>フルリモート</t>
        </is>
      </c>
      <c r="I27" s="8" t="inlineStr">
        <is>
          <t>8/11</t>
        </is>
      </c>
      <c r="J27" s="8" t="inlineStr">
        <is>
          <t>選考中</t>
        </is>
      </c>
      <c r="K27" s="9" t="inlineStr"/>
      <c r="L27" s="8" t="inlineStr"/>
    </row>
    <row r="28">
      <c r="A28" s="10" t="inlineStr">
        <is>
          <t>ビザスク</t>
        </is>
      </c>
      <c r="B28" s="10" t="inlineStr">
        <is>
          <t>2060</t>
        </is>
      </c>
      <c r="C28" s="11" t="inlineStr">
        <is>
          <t>観光・インバウンド領域での新規事業立ち上げ</t>
        </is>
      </c>
      <c r="D28" s="10" t="inlineStr">
        <is>
          <t>ネオキャリア</t>
        </is>
      </c>
      <c r="E28" s="10" t="inlineStr">
        <is>
          <t>時給7,000〜12,000</t>
        </is>
      </c>
      <c r="F28" s="10" t="inlineStr">
        <is>
          <t>¥7,000〜12,000</t>
        </is>
      </c>
      <c r="G28" s="10" t="inlineStr">
        <is>
          <t>週16h〜</t>
        </is>
      </c>
      <c r="H28" s="10" t="inlineStr">
        <is>
          <t>フルリモート</t>
        </is>
      </c>
      <c r="I28" s="10" t="inlineStr">
        <is>
          <t>8/11</t>
        </is>
      </c>
      <c r="J28" s="10" t="inlineStr">
        <is>
          <t>選考中</t>
        </is>
      </c>
      <c r="K28" s="11" t="inlineStr"/>
      <c r="L28" s="10" t="inlineStr"/>
    </row>
    <row r="29">
      <c r="A29" s="8" t="inlineStr">
        <is>
          <t>ビザスク</t>
        </is>
      </c>
      <c r="B29" s="8" t="inlineStr">
        <is>
          <t>1888</t>
        </is>
      </c>
      <c r="C29" s="9" t="inlineStr">
        <is>
          <t>全国250店舗 美容サロン事業の経営コンサル</t>
        </is>
      </c>
      <c r="D29" s="8" t="inlineStr">
        <is>
          <t>Lime</t>
        </is>
      </c>
      <c r="E29" s="8" t="inlineStr">
        <is>
          <t>時給5,000〜20,000</t>
        </is>
      </c>
      <c r="F29" s="8" t="inlineStr">
        <is>
          <t>¥5,000〜20,000</t>
        </is>
      </c>
      <c r="G29" s="8" t="inlineStr">
        <is>
          <t>応相談</t>
        </is>
      </c>
      <c r="H29" s="8" t="inlineStr">
        <is>
          <t>一部リモート</t>
        </is>
      </c>
      <c r="I29" s="8" t="inlineStr">
        <is>
          <t>8/11</t>
        </is>
      </c>
      <c r="J29" s="8" t="inlineStr">
        <is>
          <t>選考中</t>
        </is>
      </c>
      <c r="K29" s="9" t="inlineStr"/>
      <c r="L29" s="8" t="inlineStr"/>
    </row>
    <row r="30">
      <c r="A30" s="10" t="inlineStr">
        <is>
          <t>ビザスク</t>
        </is>
      </c>
      <c r="B30" s="10" t="inlineStr">
        <is>
          <t>1769</t>
        </is>
      </c>
      <c r="C30" s="11" t="inlineStr">
        <is>
          <t>AIエージェントプラットフォームのFDE</t>
        </is>
      </c>
      <c r="D30" s="10" t="inlineStr">
        <is>
          <t>インターセクト</t>
        </is>
      </c>
      <c r="E30" s="10" t="inlineStr">
        <is>
          <t>時給5,000〜10,000</t>
        </is>
      </c>
      <c r="F30" s="10" t="inlineStr">
        <is>
          <t>¥5,000〜10,000</t>
        </is>
      </c>
      <c r="G30" s="10" t="inlineStr">
        <is>
          <t>週24h〜</t>
        </is>
      </c>
      <c r="H30" s="10" t="inlineStr">
        <is>
          <t>一部リモート</t>
        </is>
      </c>
      <c r="I30" s="10" t="inlineStr">
        <is>
          <t>8/11</t>
        </is>
      </c>
      <c r="J30" s="10" t="inlineStr">
        <is>
          <t>選考中</t>
        </is>
      </c>
      <c r="K30" s="11" t="inlineStr"/>
      <c r="L30" s="10" t="inlineStr"/>
    </row>
    <row r="31">
      <c r="A31" s="8" t="inlineStr">
        <is>
          <t>ビザスク</t>
        </is>
      </c>
      <c r="B31" s="8" t="inlineStr">
        <is>
          <t>1833</t>
        </is>
      </c>
      <c r="C31" s="9" t="inlineStr">
        <is>
          <t>大企業向けマーケティング研修の設計・講師</t>
        </is>
      </c>
      <c r="D31" s="8" t="inlineStr">
        <is>
          <t>なぞる</t>
        </is>
      </c>
      <c r="E31" s="8" t="inlineStr">
        <is>
          <t>時給5,000〜10,000</t>
        </is>
      </c>
      <c r="F31" s="8" t="inlineStr">
        <is>
          <t>¥5,000〜10,000</t>
        </is>
      </c>
      <c r="G31" s="8" t="inlineStr">
        <is>
          <t>週8h以下</t>
        </is>
      </c>
      <c r="H31" s="8" t="inlineStr">
        <is>
          <t>一部リモート</t>
        </is>
      </c>
      <c r="I31" s="8" t="inlineStr">
        <is>
          <t>8/11</t>
        </is>
      </c>
      <c r="J31" s="8" t="inlineStr">
        <is>
          <t>選考中</t>
        </is>
      </c>
      <c r="K31" s="9" t="inlineStr"/>
      <c r="L31" s="8" t="inlineStr"/>
    </row>
    <row r="32">
      <c r="A32" s="10" t="inlineStr">
        <is>
          <t>HiPro</t>
        </is>
      </c>
      <c r="B32" s="10" t="inlineStr">
        <is>
          <t>19199</t>
        </is>
      </c>
      <c r="C32" s="11" t="inlineStr">
        <is>
          <t>全社AI導入アドバイザー</t>
        </is>
      </c>
      <c r="D32" s="10" t="inlineStr">
        <is>
          <t>丸研特殊印刷</t>
        </is>
      </c>
      <c r="E32" s="10" t="inlineStr">
        <is>
          <t>月10万</t>
        </is>
      </c>
      <c r="F32" s="10" t="inlineStr">
        <is>
          <t>¥3,333〜5,000</t>
        </is>
      </c>
      <c r="G32" s="10" t="inlineStr">
        <is>
          <t>月20〜30h</t>
        </is>
      </c>
      <c r="H32" s="10" t="inlineStr">
        <is>
          <t>オンライン中心</t>
        </is>
      </c>
      <c r="I32" s="10" t="inlineStr">
        <is>
          <t>8/10</t>
        </is>
      </c>
      <c r="J32" s="10" t="inlineStr">
        <is>
          <t>選考中</t>
        </is>
      </c>
      <c r="K32" s="11" t="inlineStr">
        <is>
          <t>講師枠（別枠）</t>
        </is>
      </c>
      <c r="L32" s="10" t="inlineStr"/>
    </row>
    <row r="33">
      <c r="A33" s="8" t="inlineStr">
        <is>
          <t>SOKUDAN</t>
        </is>
      </c>
      <c r="B33" s="8" t="inlineStr">
        <is>
          <t>19289</t>
        </is>
      </c>
      <c r="C33" s="9" t="inlineStr">
        <is>
          <t>リファーラル研修企画</t>
        </is>
      </c>
      <c r="D33" s="8" t="inlineStr">
        <is>
          <t>BNI</t>
        </is>
      </c>
      <c r="E33" s="8" t="inlineStr">
        <is>
          <t>時給6,000で提示</t>
        </is>
      </c>
      <c r="F33" s="8" t="inlineStr">
        <is>
          <t>¥6,000</t>
        </is>
      </c>
      <c r="G33" s="8" t="inlineStr">
        <is>
          <t>月80h</t>
        </is>
      </c>
      <c r="H33" s="8" t="inlineStr">
        <is>
          <t>—</t>
        </is>
      </c>
      <c r="I33" s="8" t="inlineStr">
        <is>
          <t>8/10</t>
        </is>
      </c>
      <c r="J33" s="8" t="inlineStr">
        <is>
          <t>選考中</t>
        </is>
      </c>
      <c r="K33" s="9" t="inlineStr">
        <is>
          <t>講師枠（別枠）</t>
        </is>
      </c>
      <c r="L33" s="8" t="inlineStr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</row>
    <row r="60">
      <c r="A60" s="2" t="inlineStr">
        <is>
          <t>ステータスはプルダウンから選ぶ。「不採用」を選んだ行は、確認したうえで行ごと削除する。</t>
        </is>
      </c>
    </row>
  </sheetData>
  <dataValidations count="1">
    <dataValidation sqref="J9:J58" showDropDown="0" showInputMessage="0" showErrorMessage="0" allowBlank="1" type="list">
      <formula1>"選考中,面談調整中,面談済,条件交渉中,締結,不採用"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26" customWidth="1" min="4" max="4"/>
    <col width="34" customWidth="1" min="5" max="5"/>
    <col width="11" customWidth="1" min="6" max="6"/>
  </cols>
  <sheetData>
    <row r="1">
      <c r="A1" s="1" t="inlineStr">
        <is>
          <t>人が間に立つ経路（ここが面談への最短ルート）</t>
        </is>
      </c>
    </row>
    <row r="2">
      <c r="A2" s="2" t="inlineStr">
        <is>
          <t>28件応募して面談0。応募の量ではなく経路の問題。エージェント3社を動かすことが最優先。</t>
        </is>
      </c>
    </row>
    <row r="4" ht="22" customHeight="1">
      <c r="A4" s="7" t="inlineStr">
        <is>
          <t>先</t>
        </is>
      </c>
      <c r="B4" s="7" t="inlineStr">
        <is>
          <t>種別</t>
        </is>
      </c>
      <c r="C4" s="7" t="inlineStr">
        <is>
          <t>こちらの連絡</t>
        </is>
      </c>
      <c r="D4" s="7" t="inlineStr">
        <is>
          <t>状態</t>
        </is>
      </c>
      <c r="E4" s="7" t="inlineStr">
        <is>
          <t>次アクション</t>
        </is>
      </c>
      <c r="F4" s="7" t="inlineStr">
        <is>
          <t>期限</t>
        </is>
      </c>
    </row>
    <row r="5">
      <c r="A5" s="13" t="inlineStr">
        <is>
          <t>HiPro Biz</t>
        </is>
      </c>
      <c r="B5" s="13" t="inlineStr">
        <is>
          <t>エージェント</t>
        </is>
      </c>
      <c r="C5" s="13" t="inlineStr">
        <is>
          <t>紹介依頼</t>
        </is>
      </c>
      <c r="D5" s="14" t="inlineStr">
        <is>
          <t>未送信</t>
        </is>
      </c>
      <c r="E5" s="13" t="inlineStr">
        <is>
          <t>8/12 朝いちでメール送付</t>
        </is>
      </c>
      <c r="F5" s="13" t="inlineStr">
        <is>
          <t>8/12</t>
        </is>
      </c>
    </row>
    <row r="6">
      <c r="A6" s="9" t="inlineStr">
        <is>
          <t>サーキュレーション</t>
        </is>
      </c>
      <c r="B6" s="9" t="inlineStr">
        <is>
          <t>エージェント</t>
        </is>
      </c>
      <c r="C6" s="9" t="inlineStr">
        <is>
          <t>紹介依頼</t>
        </is>
      </c>
      <c r="D6" s="9" t="inlineStr">
        <is>
          <t>送信済 8/9・返信なし</t>
        </is>
      </c>
      <c r="E6" s="9" t="inlineStr">
        <is>
          <t>パスワード設定と事前アンケートが完了しているか確認（期限切れの可能性）</t>
        </is>
      </c>
      <c r="F6" s="9" t="inlineStr">
        <is>
          <t>8/12</t>
        </is>
      </c>
    </row>
    <row r="7">
      <c r="A7" s="9" t="inlineStr">
        <is>
          <t>みらいワークス</t>
        </is>
      </c>
      <c r="B7" s="9" t="inlineStr">
        <is>
          <t>エージェント</t>
        </is>
      </c>
      <c r="C7" s="9" t="inlineStr">
        <is>
          <t>面談打診（案件7件を名指し）</t>
        </is>
      </c>
      <c r="D7" s="9" t="inlineStr">
        <is>
          <t>送信済 8/10・返信なし</t>
        </is>
      </c>
      <c r="E7" s="9" t="inlineStr">
        <is>
          <t>8/18に再打診。通れば凍結中122件が解ける</t>
        </is>
      </c>
      <c r="F7" s="9" t="inlineStr">
        <is>
          <t>8/18</t>
        </is>
      </c>
    </row>
    <row r="8">
      <c r="A8" s="9" t="inlineStr">
        <is>
          <t>WINWILL</t>
        </is>
      </c>
      <c r="B8" s="9" t="inlineStr">
        <is>
          <t>企業直接</t>
        </is>
      </c>
      <c r="C8" s="9" t="inlineStr">
        <is>
          <t>職務経歴書 送付</t>
        </is>
      </c>
      <c r="D8" s="9" t="inlineStr">
        <is>
          <t>受領確認あり 8/10 21:24</t>
        </is>
      </c>
      <c r="E8" s="9" t="inlineStr">
        <is>
          <t>返信不要。選考待ち</t>
        </is>
      </c>
      <c r="F8" s="9" t="inlineStr">
        <is>
          <t>—</t>
        </is>
      </c>
    </row>
    <row r="9">
      <c r="A9" s="9" t="inlineStr">
        <is>
          <t>Workship</t>
        </is>
      </c>
      <c r="B9" s="9" t="inlineStr">
        <is>
          <t>媒体</t>
        </is>
      </c>
      <c r="C9" s="9" t="inlineStr">
        <is>
          <t>—</t>
        </is>
      </c>
      <c r="D9" s="9" t="inlineStr">
        <is>
          <t>登録済・チュートリアル未完了</t>
        </is>
      </c>
      <c r="E9" s="9" t="inlineStr">
        <is>
          <t>チュートリアルを完了させる（案件一覧はログイン後）</t>
        </is>
      </c>
      <c r="F9" s="9" t="inlineStr">
        <is>
          <t>8/14</t>
        </is>
      </c>
    </row>
    <row r="10">
      <c r="A10" s="9" t="inlineStr">
        <is>
          <t>ビザスク</t>
        </is>
      </c>
      <c r="B10" s="9" t="inlineStr">
        <is>
          <t>媒体</t>
        </is>
      </c>
      <c r="C10" s="9" t="inlineStr">
        <is>
          <t>業務委託5件に応募</t>
        </is>
      </c>
      <c r="D10" s="9" t="inlineStr">
        <is>
          <t>稼働中</t>
        </is>
      </c>
      <c r="E10" s="9" t="inlineStr">
        <is>
          <t>話せるトピック④〜⑨を公開</t>
        </is>
      </c>
      <c r="F10" s="9" t="inlineStr">
        <is>
          <t>8/13</t>
        </is>
      </c>
    </row>
    <row r="11">
      <c r="A11" s="9" t="inlineStr">
        <is>
          <t>HiPro Direct</t>
        </is>
      </c>
      <c r="B11" s="9" t="inlineStr">
        <is>
          <t>媒体</t>
        </is>
      </c>
      <c r="C11" s="9" t="inlineStr">
        <is>
          <t>18件に応募</t>
        </is>
      </c>
      <c r="D11" s="9" t="inlineStr">
        <is>
          <t>稼働中</t>
        </is>
      </c>
      <c r="E11" s="9" t="inlineStr">
        <is>
          <t>—</t>
        </is>
      </c>
      <c r="F11" s="9" t="inlineStr">
        <is>
          <t>—</t>
        </is>
      </c>
    </row>
    <row r="12">
      <c r="A12" s="9" t="inlineStr">
        <is>
          <t>SOKUDAN</t>
        </is>
      </c>
      <c r="B12" s="9" t="inlineStr">
        <is>
          <t>媒体</t>
        </is>
      </c>
      <c r="C12" s="9" t="inlineStr">
        <is>
          <t>10件に応募</t>
        </is>
      </c>
      <c r="D12" s="9" t="inlineStr">
        <is>
          <t>稼働中</t>
        </is>
      </c>
      <c r="E12" s="9" t="inlineStr">
        <is>
          <t>—</t>
        </is>
      </c>
      <c r="F12" s="9" t="inlineStr">
        <is>
          <t>—</t>
        </is>
      </c>
    </row>
    <row r="14">
      <c r="A14" s="2" t="inlineStr">
        <is>
          <t>黄色の行は未着手。空白セルは自分で埋める。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2026-08-10T23:08:33Z</dcterms:created>
  <dcterms:modified xsi:type="dcterms:W3CDTF">2026-08-10T23:08:33Z</dcterms:modified>
</cp:coreProperties>
</file>