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前提" sheetId="2" state="visible" r:id="rId2"/>
    <sheet xmlns:r="http://schemas.openxmlformats.org/officeDocument/2006/relationships" name="人員と人件費" sheetId="3" state="visible" r:id="rId3"/>
    <sheet xmlns:r="http://schemas.openxmlformats.org/officeDocument/2006/relationships" name="損益計算書" sheetId="4" state="visible" r:id="rId4"/>
    <sheet xmlns:r="http://schemas.openxmlformats.org/officeDocument/2006/relationships" name="資金計画" sheetId="5" state="visible" r:id="rId5"/>
    <sheet xmlns:r="http://schemas.openxmlformats.org/officeDocument/2006/relationships" name="原価とAX感応度" sheetId="6" state="visible" r:id="rId6"/>
    <sheet xmlns:r="http://schemas.openxmlformats.org/officeDocument/2006/relationships" name="資本構成の推移" sheetId="7" state="visible" r:id="rId7"/>
    <sheet xmlns:r="http://schemas.openxmlformats.org/officeDocument/2006/relationships" name="資本政策とリターン" sheetId="8" state="visible" r:id="rId8"/>
    <sheet xmlns:r="http://schemas.openxmlformats.org/officeDocument/2006/relationships" name="業界ベンチマーク" sheetId="9" state="visible" r:id="rId9"/>
    <sheet xmlns:r="http://schemas.openxmlformats.org/officeDocument/2006/relationships" name="出所と仮置き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+0.0%;-0.0%"/>
    <numFmt numFmtId="168" formatCode="0.000"/>
    <numFmt numFmtId="169" formatCode="0.0&quot;倍&quot;"/>
  </numFmts>
  <fonts count="7">
    <font>
      <name val="Calibri"/>
      <family val="2"/>
      <color theme="1"/>
      <sz val="11"/>
      <scheme val="minor"/>
    </font>
    <font>
      <name val="Yu Gothic"/>
      <b val="1"/>
      <color rgb="002A3563"/>
      <sz val="14"/>
    </font>
    <font>
      <name val="Yu Gothic"/>
      <color rgb="006E6E76"/>
      <sz val="9"/>
    </font>
    <font>
      <name val="Yu Gothic"/>
      <b val="1"/>
      <color rgb="00FFFFFF"/>
      <sz val="10"/>
    </font>
    <font>
      <name val="Yu Gothic"/>
      <b val="1"/>
      <color rgb="0016161A"/>
      <sz val="10"/>
    </font>
    <font>
      <name val="Yu Gothic"/>
      <color rgb="0016161A"/>
      <sz val="10"/>
    </font>
    <font>
      <name val="Yu Gothic"/>
      <b val="1"/>
      <color rgb="00B3121B"/>
      <sz val="10"/>
    </font>
  </fonts>
  <fills count="6">
    <fill>
      <patternFill/>
    </fill>
    <fill>
      <patternFill patternType="gray125"/>
    </fill>
    <fill>
      <patternFill patternType="solid">
        <fgColor rgb="002A3563"/>
      </patternFill>
    </fill>
    <fill>
      <patternFill patternType="solid">
        <fgColor rgb="00FFF6DC"/>
      </patternFill>
    </fill>
    <fill>
      <patternFill patternType="solid">
        <fgColor rgb="00FCE5CD"/>
      </patternFill>
    </fill>
    <fill>
      <patternFill patternType="solid">
        <fgColor rgb="00F4F4F6"/>
      </patternFill>
    </fill>
  </fills>
  <borders count="2">
    <border>
      <left/>
      <right/>
      <top/>
      <bottom/>
      <diagonal/>
    </border>
    <border>
      <left style="thin">
        <color rgb="00DCD9D4"/>
      </left>
      <right style="thin">
        <color rgb="00DCD9D4"/>
      </right>
      <top style="thin">
        <color rgb="00DCD9D4"/>
      </top>
      <bottom style="thin">
        <color rgb="00DCD9D4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3" fontId="4" fillId="4" borderId="1" applyAlignment="1" pivotButton="0" quotePrefix="0" xfId="0">
      <alignment horizontal="right"/>
    </xf>
    <xf numFmtId="0" fontId="2" fillId="0" borderId="1" pivotButton="0" quotePrefix="0" xfId="0"/>
    <xf numFmtId="3" fontId="5" fillId="0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0" pivotButton="0" quotePrefix="0" xfId="0"/>
    <xf numFmtId="2" fontId="5" fillId="0" borderId="1" applyAlignment="1" pivotButton="0" quotePrefix="0" xfId="0">
      <alignment horizontal="right"/>
    </xf>
    <xf numFmtId="169" fontId="6" fillId="4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3" fontId="4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6" fillId="0" borderId="1" pivotButton="0" quotePrefix="0" xfId="0"/>
    <xf numFmtId="164" fontId="4" fillId="3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0" fontId="6" fillId="0" borderId="0" pivotButton="0" quotePrefix="0" xfId="0"/>
    <xf numFmtId="165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center"/>
    </xf>
    <xf numFmtId="2" fontId="5" fillId="5" borderId="1" applyAlignment="1" pivotButton="0" quotePrefix="0" xfId="0">
      <alignment horizontal="right"/>
    </xf>
    <xf numFmtId="168" fontId="4" fillId="5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s="1" t="inlineStr">
        <is>
          <t>AI映像制作事業　5年計画サマリー（Ver1.4）</t>
        </is>
      </c>
    </row>
    <row r="2">
      <c r="A2" s="2" t="inlineStr">
        <is>
          <t>単位：百万円。すべて数式で、「前提」シートを書き換えると連動する。⚠［仮置き］の前提に乗った計画であり、実績ではない。</t>
        </is>
      </c>
    </row>
    <row r="3" ht="20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4" t="inlineStr">
        <is>
          <t>売上高</t>
        </is>
      </c>
      <c r="B4" s="5" t="inlineStr"/>
      <c r="C4" s="6">
        <f>損益計算書!C9</f>
        <v/>
      </c>
      <c r="D4" s="6">
        <f>損益計算書!D9</f>
        <v/>
      </c>
      <c r="E4" s="6">
        <f>損益計算書!E9</f>
        <v/>
      </c>
      <c r="F4" s="6">
        <f>損益計算書!F9</f>
        <v/>
      </c>
      <c r="G4" s="6">
        <f>損益計算書!G9</f>
        <v/>
      </c>
      <c r="H4" s="7" t="inlineStr">
        <is>
          <t>5期 88.1億</t>
        </is>
      </c>
    </row>
    <row r="5">
      <c r="A5" s="5" t="inlineStr">
        <is>
          <t xml:space="preserve">　① 映像制作</t>
        </is>
      </c>
      <c r="B5" s="5" t="inlineStr"/>
      <c r="C5" s="8">
        <f>損益計算書!C4</f>
        <v/>
      </c>
      <c r="D5" s="8">
        <f>損益計算書!D4</f>
        <v/>
      </c>
      <c r="E5" s="8">
        <f>損益計算書!E4</f>
        <v/>
      </c>
      <c r="F5" s="8">
        <f>損益計算書!F4</f>
        <v/>
      </c>
      <c r="G5" s="8">
        <f>損益計算書!G4</f>
        <v/>
      </c>
      <c r="H5" s="7" t="inlineStr">
        <is>
          <t>5,594本 × 60万円。SAMの1.5%</t>
        </is>
      </c>
    </row>
    <row r="6">
      <c r="A6" s="5" t="inlineStr">
        <is>
          <t xml:space="preserve">　② ツール外販</t>
        </is>
      </c>
      <c r="B6" s="5" t="inlineStr"/>
      <c r="C6" s="8">
        <f>損益計算書!C7</f>
        <v/>
      </c>
      <c r="D6" s="8">
        <f>損益計算書!D7</f>
        <v/>
      </c>
      <c r="E6" s="8">
        <f>損益計算書!E7</f>
        <v/>
      </c>
      <c r="F6" s="8">
        <f>損益計算書!F7</f>
        <v/>
      </c>
      <c r="G6" s="8">
        <f>損益計算書!G7</f>
        <v/>
      </c>
      <c r="H6" s="7" t="inlineStr">
        <is>
          <t>法人600社＋個人17,000人。海外展開が前提</t>
        </is>
      </c>
    </row>
    <row r="7">
      <c r="A7" s="5" t="inlineStr">
        <is>
          <t xml:space="preserve">　③ 越境C2C手数料</t>
        </is>
      </c>
      <c r="B7" s="5" t="inlineStr"/>
      <c r="C7" s="8">
        <f>損益計算書!C8</f>
        <v/>
      </c>
      <c r="D7" s="8">
        <f>損益計算書!D8</f>
        <v/>
      </c>
      <c r="E7" s="8">
        <f>損益計算書!E8</f>
        <v/>
      </c>
      <c r="F7" s="8">
        <f>損益計算書!F8</f>
        <v/>
      </c>
      <c r="G7" s="8">
        <f>損益計算書!G8</f>
        <v/>
      </c>
      <c r="H7" s="7" t="inlineStr">
        <is>
          <t>GMV 83億 × 18%</t>
        </is>
      </c>
    </row>
    <row r="8">
      <c r="A8" s="5" t="inlineStr">
        <is>
          <t>売上総利益</t>
        </is>
      </c>
      <c r="B8" s="5" t="inlineStr"/>
      <c r="C8" s="8">
        <f>損益計算書!C15</f>
        <v/>
      </c>
      <c r="D8" s="8">
        <f>損益計算書!D15</f>
        <v/>
      </c>
      <c r="E8" s="8">
        <f>損益計算書!E15</f>
        <v/>
      </c>
      <c r="F8" s="8">
        <f>損益計算書!F15</f>
        <v/>
      </c>
      <c r="G8" s="8">
        <f>損益計算書!G15</f>
        <v/>
      </c>
      <c r="H8" s="7" t="inlineStr"/>
    </row>
    <row r="9">
      <c r="A9" s="4" t="inlineStr">
        <is>
          <t>営業利益</t>
        </is>
      </c>
      <c r="B9" s="5" t="inlineStr"/>
      <c r="C9" s="6">
        <f>損益計算書!C25</f>
        <v/>
      </c>
      <c r="D9" s="6">
        <f>損益計算書!D25</f>
        <v/>
      </c>
      <c r="E9" s="6">
        <f>損益計算書!E25</f>
        <v/>
      </c>
      <c r="F9" s="6">
        <f>損益計算書!F25</f>
        <v/>
      </c>
      <c r="G9" s="6">
        <f>損益計算書!G25</f>
        <v/>
      </c>
      <c r="H9" s="7" t="inlineStr">
        <is>
          <t>3期に損益分岐、4期に通期黒字</t>
        </is>
      </c>
    </row>
    <row r="10">
      <c r="A10" s="4" t="inlineStr">
        <is>
          <t xml:space="preserve">　営業利益率</t>
        </is>
      </c>
      <c r="B10" s="5" t="inlineStr"/>
      <c r="C10" s="9">
        <f>損益計算書!C26</f>
        <v/>
      </c>
      <c r="D10" s="9">
        <f>損益計算書!D26</f>
        <v/>
      </c>
      <c r="E10" s="9">
        <f>損益計算書!E26</f>
        <v/>
      </c>
      <c r="F10" s="9">
        <f>損益計算書!F26</f>
        <v/>
      </c>
      <c r="G10" s="9">
        <f>損益計算書!G26</f>
        <v/>
      </c>
      <c r="H10" s="7" t="inlineStr"/>
    </row>
    <row r="11">
      <c r="A11" s="5" t="inlineStr">
        <is>
          <t>営業キャッシュフロー</t>
        </is>
      </c>
      <c r="B11" s="5" t="inlineStr"/>
      <c r="C11" s="8">
        <f>資金計画!C14</f>
        <v/>
      </c>
      <c r="D11" s="8">
        <f>資金計画!D14</f>
        <v/>
      </c>
      <c r="E11" s="8">
        <f>資金計画!E14</f>
        <v/>
      </c>
      <c r="F11" s="8">
        <f>資金計画!F14</f>
        <v/>
      </c>
      <c r="G11" s="8">
        <f>資金計画!G14</f>
        <v/>
      </c>
      <c r="H11" s="7" t="inlineStr">
        <is>
          <t>税・運転資本の後</t>
        </is>
      </c>
    </row>
    <row r="12">
      <c r="A12" s="4" t="inlineStr">
        <is>
          <t>期末キャッシュ残高</t>
        </is>
      </c>
      <c r="B12" s="5" t="inlineStr"/>
      <c r="C12" s="6">
        <f>資金計画!C22</f>
        <v/>
      </c>
      <c r="D12" s="6">
        <f>資金計画!D22</f>
        <v/>
      </c>
      <c r="E12" s="6">
        <f>資金計画!E22</f>
        <v/>
      </c>
      <c r="F12" s="6">
        <f>資金計画!F22</f>
        <v/>
      </c>
      <c r="G12" s="6">
        <f>資金計画!G22</f>
        <v/>
      </c>
      <c r="H12" s="7" t="inlineStr">
        <is>
          <t>一度もマイナスにならないこと</t>
        </is>
      </c>
    </row>
    <row r="13">
      <c r="A13" s="5" t="inlineStr">
        <is>
          <t>社員数</t>
        </is>
      </c>
      <c r="B13" s="5" t="inlineStr"/>
      <c r="C13" s="8">
        <f>損益計算書!C29</f>
        <v/>
      </c>
      <c r="D13" s="8">
        <f>損益計算書!D29</f>
        <v/>
      </c>
      <c r="E13" s="8">
        <f>損益計算書!E29</f>
        <v/>
      </c>
      <c r="F13" s="8">
        <f>損益計算書!F29</f>
        <v/>
      </c>
      <c r="G13" s="8">
        <f>損益計算書!G29</f>
        <v/>
      </c>
      <c r="H13" s="7" t="inlineStr">
        <is>
          <t>業務委託・BPOは含まない</t>
        </is>
      </c>
    </row>
    <row r="14">
      <c r="A14" s="4" t="inlineStr">
        <is>
          <t>売上 / 社員（万円）</t>
        </is>
      </c>
      <c r="B14" s="5" t="inlineStr"/>
      <c r="C14" s="6">
        <f>損益計算書!C30</f>
        <v/>
      </c>
      <c r="D14" s="6">
        <f>損益計算書!D30</f>
        <v/>
      </c>
      <c r="E14" s="6">
        <f>損益計算書!E30</f>
        <v/>
      </c>
      <c r="F14" s="6">
        <f>損益計算書!F30</f>
        <v/>
      </c>
      <c r="G14" s="6">
        <f>損益計算書!G30</f>
        <v/>
      </c>
      <c r="H14" s="7" t="inlineStr">
        <is>
          <t>5期 1.44億</t>
        </is>
      </c>
    </row>
    <row r="15">
      <c r="A15" s="4" t="inlineStr">
        <is>
          <t>人手に比例しない収益 比率</t>
        </is>
      </c>
      <c r="B15" s="5" t="inlineStr"/>
      <c r="C15" s="9">
        <f>損益計算書!C33</f>
        <v/>
      </c>
      <c r="D15" s="9">
        <f>損益計算書!D33</f>
        <v/>
      </c>
      <c r="E15" s="9">
        <f>損益計算書!E33</f>
        <v/>
      </c>
      <c r="F15" s="9">
        <f>損益計算書!F33</f>
        <v/>
      </c>
      <c r="G15" s="9">
        <f>損益計算書!G33</f>
        <v/>
      </c>
      <c r="H15" s="7" t="inlineStr">
        <is>
          <t>5期 90%。受託と読まれないための中心指標</t>
        </is>
      </c>
    </row>
    <row r="16">
      <c r="A16" s="5" t="inlineStr">
        <is>
          <t>研究開発費 ÷ 売上</t>
        </is>
      </c>
      <c r="B16" s="5" t="inlineStr"/>
      <c r="C16" s="10">
        <f>損益計算書!C31</f>
        <v/>
      </c>
      <c r="D16" s="10">
        <f>損益計算書!D31</f>
        <v/>
      </c>
      <c r="E16" s="10">
        <f>損益計算書!E31</f>
        <v/>
      </c>
      <c r="F16" s="10">
        <f>損益計算書!F31</f>
        <v/>
      </c>
      <c r="G16" s="10">
        <f>損益計算書!G31</f>
        <v/>
      </c>
      <c r="H16" s="7" t="inlineStr">
        <is>
          <t>5期 18.2%</t>
        </is>
      </c>
    </row>
    <row r="17">
      <c r="A17" s="5" t="inlineStr">
        <is>
          <t>AX倍率</t>
        </is>
      </c>
      <c r="B17" s="5" t="inlineStr"/>
      <c r="C17" s="11">
        <f>損益計算書!C6</f>
        <v/>
      </c>
      <c r="D17" s="11">
        <f>損益計算書!D6</f>
        <v/>
      </c>
      <c r="E17" s="11">
        <f>損益計算書!E6</f>
        <v/>
      </c>
      <c r="F17" s="11">
        <f>損益計算書!F6</f>
        <v/>
      </c>
      <c r="G17" s="11">
        <f>損益計算書!G6</f>
        <v/>
      </c>
      <c r="H17" s="7" t="inlineStr">
        <is>
          <t>計画の最重要前提［仮置き］。3倍でも成立する</t>
        </is>
      </c>
    </row>
    <row r="19">
      <c r="A19" s="12" t="inlineStr">
        <is>
          <t>シード投資家（1.42億）のリターン</t>
        </is>
      </c>
    </row>
    <row r="20" ht="20" customHeight="1">
      <c r="A20" s="3" t="inlineStr">
        <is>
          <t>ケース</t>
        </is>
      </c>
      <c r="B20" s="3" t="inlineStr"/>
      <c r="C20" s="3" t="inlineStr">
        <is>
          <t>時価総額(億)</t>
        </is>
      </c>
      <c r="D20" s="3" t="inlineStr">
        <is>
          <t>取り分(億)</t>
        </is>
      </c>
      <c r="E20" s="3" t="inlineStr">
        <is>
          <t>倍率</t>
        </is>
      </c>
      <c r="F20" s="3" t="inlineStr">
        <is>
          <t>IRR</t>
        </is>
      </c>
      <c r="G20" s="3" t="inlineStr"/>
      <c r="H20" s="3" t="inlineStr">
        <is>
          <t>根拠</t>
        </is>
      </c>
    </row>
    <row r="21">
      <c r="A21" s="4" t="inlineStr">
        <is>
          <t>ライン別・保守</t>
        </is>
      </c>
      <c r="B21" s="5" t="inlineStr"/>
      <c r="C21" s="8">
        <f>'資本政策とリターン'!E13</f>
        <v/>
      </c>
      <c r="D21" s="13">
        <f>'資本政策とリターン'!F13</f>
        <v/>
      </c>
      <c r="E21" s="14">
        <f>'資本政策とリターン'!G13</f>
        <v/>
      </c>
      <c r="F21" s="10">
        <f>'資本政策とリターン'!H13</f>
        <v/>
      </c>
      <c r="G21" s="5" t="inlineStr"/>
      <c r="H21" s="7" t="inlineStr">
        <is>
          <t>ツール6倍＋C2C4倍＋制作1.5倍</t>
        </is>
      </c>
    </row>
    <row r="22">
      <c r="A22" s="4" t="inlineStr">
        <is>
          <t>ライン別・中庸</t>
        </is>
      </c>
      <c r="B22" s="5" t="inlineStr"/>
      <c r="C22" s="8">
        <f>'資本政策とリターン'!E14</f>
        <v/>
      </c>
      <c r="D22" s="13">
        <f>'資本政策とリターン'!F14</f>
        <v/>
      </c>
      <c r="E22" s="14">
        <f>'資本政策とリターン'!G14</f>
        <v/>
      </c>
      <c r="F22" s="10">
        <f>'資本政策とリターン'!H14</f>
        <v/>
      </c>
      <c r="G22" s="5" t="inlineStr"/>
      <c r="H22" s="7" t="inlineStr">
        <is>
          <t>ツール7倍＋C2C5倍＋制作2.0倍</t>
        </is>
      </c>
    </row>
    <row r="23">
      <c r="A23" s="4" t="inlineStr">
        <is>
          <t>ライン別・強気</t>
        </is>
      </c>
      <c r="B23" s="5" t="inlineStr"/>
      <c r="C23" s="8">
        <f>'資本政策とリターン'!E15</f>
        <v/>
      </c>
      <c r="D23" s="13">
        <f>'資本政策とリターン'!F15</f>
        <v/>
      </c>
      <c r="E23" s="14">
        <f>'資本政策とリターン'!G15</f>
        <v/>
      </c>
      <c r="F23" s="10">
        <f>'資本政策とリターン'!H15</f>
        <v/>
      </c>
      <c r="G23" s="5" t="inlineStr"/>
      <c r="H23" s="7" t="inlineStr">
        <is>
          <t>ツール8倍＋C2C6倍＋制作2.5倍</t>
        </is>
      </c>
    </row>
    <row r="24">
      <c r="A24" s="4" t="inlineStr">
        <is>
          <t>全社 PSR 4倍</t>
        </is>
      </c>
      <c r="B24" s="5" t="inlineStr"/>
      <c r="C24" s="8">
        <f>'資本政策とリターン'!E19</f>
        <v/>
      </c>
      <c r="D24" s="13">
        <f>'資本政策とリターン'!F19</f>
        <v/>
      </c>
      <c r="E24" s="14">
        <f>'資本政策とリターン'!G19</f>
        <v/>
      </c>
      <c r="F24" s="10">
        <f>'資本政策とリターン'!H19</f>
        <v/>
      </c>
      <c r="G24" s="5" t="inlineStr"/>
      <c r="H24" s="7" t="inlineStr">
        <is>
          <t>人手に比例しない収益90%を根拠にする</t>
        </is>
      </c>
    </row>
    <row r="25">
      <c r="A25" s="4" t="inlineStr">
        <is>
          <t>全社 PSR 5倍</t>
        </is>
      </c>
      <c r="B25" s="5" t="inlineStr"/>
      <c r="C25" s="8">
        <f>'資本政策とリターン'!E20</f>
        <v/>
      </c>
      <c r="D25" s="13">
        <f>'資本政策とリターン'!F20</f>
        <v/>
      </c>
      <c r="E25" s="14">
        <f>'資本政策とリターン'!G20</f>
        <v/>
      </c>
      <c r="F25" s="10">
        <f>'資本政策とリターン'!H20</f>
        <v/>
      </c>
      <c r="G25" s="5" t="inlineStr"/>
      <c r="H25" s="7" t="inlineStr"/>
    </row>
    <row r="27">
      <c r="A27" s="2" t="inlineStr">
        <is>
          <t>⚠ 上の倍率は事業計画からの逆算であって、投資の推奨でも利回りの保証でもない。前提の多くは未実証（「出所と仮置き」シート参照）。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2" customWidth="1" min="9" max="9"/>
    <col width="48" customWidth="1" min="10" max="10"/>
  </cols>
  <sheetData>
    <row r="1">
      <c r="A1" s="1" t="inlineStr">
        <is>
          <t>前提（ここだけを書き換える）</t>
        </is>
      </c>
    </row>
    <row r="2">
      <c r="A2" s="2" t="inlineStr">
        <is>
          <t>黄色のセルが入力。他のシートはすべてここを参照する数式なので、書き換えれば損益・資金繰り・リターンまで動く。区分が［仮置き］のものは未実証。</t>
        </is>
      </c>
    </row>
    <row r="3" ht="20" customHeight="1">
      <c r="A3" s="3" t="inlineStr">
        <is>
          <t>大分類</t>
        </is>
      </c>
      <c r="B3" s="3" t="inlineStr">
        <is>
          <t>項目</t>
        </is>
      </c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単位</t>
        </is>
      </c>
      <c r="I3" s="3" t="inlineStr">
        <is>
          <t>区分</t>
        </is>
      </c>
      <c r="J3" s="3" t="inlineStr">
        <is>
          <t>備考・出所</t>
        </is>
      </c>
    </row>
    <row r="4">
      <c r="A4" s="4" t="inlineStr">
        <is>
          <t>① 映像制作</t>
        </is>
      </c>
      <c r="B4" s="5" t="inlineStr">
        <is>
          <t>受注本数</t>
        </is>
      </c>
      <c r="C4" s="15" t="n">
        <v>54</v>
      </c>
      <c r="D4" s="15" t="n">
        <v>350</v>
      </c>
      <c r="E4" s="15" t="n">
        <v>1200</v>
      </c>
      <c r="F4" s="15" t="n">
        <v>2800</v>
      </c>
      <c r="G4" s="15" t="n">
        <v>5594</v>
      </c>
      <c r="H4" s="16" t="inlineStr">
        <is>
          <t>本</t>
        </is>
      </c>
      <c r="I4" s="17" t="inlineStr">
        <is>
          <t>［仮置き］</t>
        </is>
      </c>
      <c r="J4" s="7" t="inlineStr">
        <is>
          <t>5期はSAMの1.5%。B案（Ver1.3の11,189本を半減）</t>
        </is>
      </c>
    </row>
    <row r="5">
      <c r="A5" s="4" t="inlineStr"/>
      <c r="B5" s="5" t="inlineStr">
        <is>
          <t>平均単価</t>
        </is>
      </c>
      <c r="C5" s="15" t="n">
        <v>50</v>
      </c>
      <c r="D5" s="15" t="n">
        <v>55</v>
      </c>
      <c r="E5" s="15" t="n">
        <v>60</v>
      </c>
      <c r="F5" s="15" t="n">
        <v>60</v>
      </c>
      <c r="G5" s="15" t="n">
        <v>60</v>
      </c>
      <c r="H5" s="16" t="inlineStr">
        <is>
          <t>万円/本</t>
        </is>
      </c>
      <c r="I5" s="16" t="inlineStr">
        <is>
          <t>相場準拠</t>
        </is>
      </c>
      <c r="J5" s="7" t="inlineStr">
        <is>
          <t>動画幹事・ムビサクの制作費相場帯に基づく想定</t>
        </is>
      </c>
    </row>
    <row r="6">
      <c r="A6" s="4" t="inlineStr"/>
      <c r="B6" s="5" t="inlineStr">
        <is>
          <t>AX倍率</t>
        </is>
      </c>
      <c r="C6" s="18" t="n">
        <v>1</v>
      </c>
      <c r="D6" s="18" t="n">
        <v>1.5</v>
      </c>
      <c r="E6" s="18" t="n">
        <v>2.2</v>
      </c>
      <c r="F6" s="18" t="n">
        <v>3</v>
      </c>
      <c r="G6" s="18" t="n">
        <v>4</v>
      </c>
      <c r="H6" s="16" t="inlineStr">
        <is>
          <t>倍</t>
        </is>
      </c>
      <c r="I6" s="17" t="inlineStr">
        <is>
          <t>［仮置き］</t>
        </is>
      </c>
      <c r="J6" s="7" t="inlineStr">
        <is>
          <t>1人あたり制作本数の倍率。計画の最重要前提</t>
        </is>
      </c>
    </row>
    <row r="7">
      <c r="A7" s="4" t="inlineStr">
        <is>
          <t>1本あたり原価</t>
        </is>
      </c>
      <c r="B7" s="5" t="inlineStr">
        <is>
          <t>中国クリエイターへの支払</t>
        </is>
      </c>
      <c r="C7" s="15" t="n">
        <v>12</v>
      </c>
      <c r="D7" s="15" t="n">
        <v>12</v>
      </c>
      <c r="E7" s="15" t="n">
        <v>12</v>
      </c>
      <c r="F7" s="15" t="n">
        <v>12</v>
      </c>
      <c r="G7" s="15" t="n">
        <v>12</v>
      </c>
      <c r="H7" s="16" t="inlineStr">
        <is>
          <t>万円/本</t>
        </is>
      </c>
      <c r="I7" s="17" t="inlineStr">
        <is>
          <t>［仮置き］</t>
        </is>
      </c>
      <c r="J7" s="7" t="inlineStr">
        <is>
          <t>CHINA_SOURCING.md</t>
        </is>
      </c>
    </row>
    <row r="8">
      <c r="A8" s="4" t="inlineStr"/>
      <c r="B8" s="5" t="inlineStr">
        <is>
          <t>制作ディレクション（AX前）</t>
        </is>
      </c>
      <c r="C8" s="15" t="n">
        <v>20</v>
      </c>
      <c r="D8" s="15" t="n">
        <v>20</v>
      </c>
      <c r="E8" s="15" t="n">
        <v>20</v>
      </c>
      <c r="F8" s="15" t="n">
        <v>20</v>
      </c>
      <c r="G8" s="15" t="n">
        <v>20</v>
      </c>
      <c r="H8" s="16" t="inlineStr">
        <is>
          <t>万円/本</t>
        </is>
      </c>
      <c r="I8" s="17" t="inlineStr">
        <is>
          <t>［仮置き］</t>
        </is>
      </c>
      <c r="J8" s="7" t="inlineStr">
        <is>
          <t>業務委託。成果物単位の支払なのでAX倍率で除される（8時間相当）</t>
        </is>
      </c>
    </row>
    <row r="9">
      <c r="A9" s="4" t="inlineStr"/>
      <c r="B9" s="5" t="inlineStr">
        <is>
          <t>AIツール・素材・レンダリング</t>
        </is>
      </c>
      <c r="C9" s="15" t="n">
        <v>2</v>
      </c>
      <c r="D9" s="15" t="n">
        <v>2</v>
      </c>
      <c r="E9" s="15" t="n">
        <v>2</v>
      </c>
      <c r="F9" s="15" t="n">
        <v>2</v>
      </c>
      <c r="G9" s="15" t="n">
        <v>2</v>
      </c>
      <c r="H9" s="16" t="inlineStr">
        <is>
          <t>万円/本</t>
        </is>
      </c>
      <c r="I9" s="17" t="inlineStr">
        <is>
          <t>［仮置き］</t>
        </is>
      </c>
      <c r="J9" s="7" t="inlineStr">
        <is>
          <t>クラウドGPU・ライセンス・素材</t>
        </is>
      </c>
    </row>
    <row r="10">
      <c r="A10" s="4" t="inlineStr"/>
      <c r="B10" s="5" t="inlineStr">
        <is>
          <t>品質バッファ（作り直し）</t>
        </is>
      </c>
      <c r="C10" s="18" t="n">
        <v>1.5</v>
      </c>
      <c r="D10" s="18" t="n">
        <v>1.5</v>
      </c>
      <c r="E10" s="18" t="n">
        <v>1.5</v>
      </c>
      <c r="F10" s="18" t="n">
        <v>1.5</v>
      </c>
      <c r="G10" s="18" t="n">
        <v>1.5</v>
      </c>
      <c r="H10" s="16" t="inlineStr">
        <is>
          <t>万円/本</t>
        </is>
      </c>
      <c r="I10" s="17" t="inlineStr">
        <is>
          <t>［仮置き］</t>
        </is>
      </c>
      <c r="J10" s="7" t="inlineStr">
        <is>
          <t>検収落ち分の引当</t>
        </is>
      </c>
    </row>
    <row r="11">
      <c r="A11" s="4" t="inlineStr">
        <is>
          <t>② ツール外販</t>
        </is>
      </c>
      <c r="B11" s="5" t="inlineStr">
        <is>
          <t>法人契約数</t>
        </is>
      </c>
      <c r="C11" s="15" t="n">
        <v>0</v>
      </c>
      <c r="D11" s="15" t="n">
        <v>15</v>
      </c>
      <c r="E11" s="15" t="n">
        <v>100</v>
      </c>
      <c r="F11" s="15" t="n">
        <v>320</v>
      </c>
      <c r="G11" s="15" t="n">
        <v>600</v>
      </c>
      <c r="H11" s="16" t="inlineStr">
        <is>
          <t>社</t>
        </is>
      </c>
      <c r="I11" s="17" t="inlineStr">
        <is>
          <t>［仮置き］</t>
        </is>
      </c>
      <c r="J11" s="7" t="inlineStr">
        <is>
          <t>3期以降は海外が前提。国内の制作会社だけでは届かない</t>
        </is>
      </c>
    </row>
    <row r="12">
      <c r="A12" s="4" t="inlineStr"/>
      <c r="B12" s="5" t="inlineStr">
        <is>
          <t>法人ACV</t>
        </is>
      </c>
      <c r="C12" s="15" t="n">
        <v>0</v>
      </c>
      <c r="D12" s="15" t="n">
        <v>250</v>
      </c>
      <c r="E12" s="15" t="n">
        <v>280</v>
      </c>
      <c r="F12" s="15" t="n">
        <v>300</v>
      </c>
      <c r="G12" s="15" t="n">
        <v>320</v>
      </c>
      <c r="H12" s="16" t="inlineStr">
        <is>
          <t>万円/年</t>
        </is>
      </c>
      <c r="I12" s="17" t="inlineStr">
        <is>
          <t>［仮置き］</t>
        </is>
      </c>
      <c r="J12" s="7" t="inlineStr">
        <is>
          <t>チェックポイント・LoRA・工程ツール</t>
        </is>
      </c>
    </row>
    <row r="13">
      <c r="A13" s="4" t="inlineStr"/>
      <c r="B13" s="5" t="inlineStr">
        <is>
          <t>個人契約数</t>
        </is>
      </c>
      <c r="C13" s="15" t="n">
        <v>0</v>
      </c>
      <c r="D13" s="15" t="n">
        <v>0</v>
      </c>
      <c r="E13" s="15" t="n">
        <v>2000</v>
      </c>
      <c r="F13" s="15" t="n">
        <v>8000</v>
      </c>
      <c r="G13" s="15" t="n">
        <v>17000</v>
      </c>
      <c r="H13" s="16" t="inlineStr">
        <is>
          <t>人</t>
        </is>
      </c>
      <c r="I13" s="17" t="inlineStr">
        <is>
          <t>［仮置き］</t>
        </is>
      </c>
      <c r="J13" s="7" t="inlineStr">
        <is>
          <t>同上</t>
        </is>
      </c>
    </row>
    <row r="14">
      <c r="A14" s="4" t="inlineStr"/>
      <c r="B14" s="5" t="inlineStr">
        <is>
          <t>個人ACV</t>
        </is>
      </c>
      <c r="C14" s="15" t="n">
        <v>12</v>
      </c>
      <c r="D14" s="15" t="n">
        <v>12</v>
      </c>
      <c r="E14" s="15" t="n">
        <v>12</v>
      </c>
      <c r="F14" s="15" t="n">
        <v>12</v>
      </c>
      <c r="G14" s="15" t="n">
        <v>12</v>
      </c>
      <c r="H14" s="16" t="inlineStr">
        <is>
          <t>万円/年</t>
        </is>
      </c>
      <c r="I14" s="17" t="inlineStr">
        <is>
          <t>［仮置き］</t>
        </is>
      </c>
      <c r="J14" s="7" t="inlineStr">
        <is>
          <t>月1万円相当</t>
        </is>
      </c>
    </row>
    <row r="15">
      <c r="A15" s="4" t="inlineStr"/>
      <c r="B15" s="5" t="inlineStr">
        <is>
          <t>粗利率</t>
        </is>
      </c>
      <c r="C15" s="19" t="n">
        <v>0.8</v>
      </c>
      <c r="D15" s="19" t="n">
        <v>0.8</v>
      </c>
      <c r="E15" s="19" t="n">
        <v>0.8</v>
      </c>
      <c r="F15" s="19" t="n">
        <v>0.8</v>
      </c>
      <c r="G15" s="19" t="n">
        <v>0.8</v>
      </c>
      <c r="H15" s="16" t="inlineStr">
        <is>
          <t>%</t>
        </is>
      </c>
      <c r="I15" s="17" t="inlineStr">
        <is>
          <t>［仮置き］</t>
        </is>
      </c>
      <c r="J15" s="7" t="inlineStr">
        <is>
          <t>ソフトウェア外販の一般水準</t>
        </is>
      </c>
    </row>
    <row r="16">
      <c r="A16" s="4" t="inlineStr">
        <is>
          <t>③ 越境C2C</t>
        </is>
      </c>
      <c r="B16" s="5" t="inlineStr">
        <is>
          <t>GMV（流通総額）</t>
        </is>
      </c>
      <c r="C16" s="15" t="n">
        <v>50</v>
      </c>
      <c r="D16" s="15" t="n">
        <v>400</v>
      </c>
      <c r="E16" s="15" t="n">
        <v>1600</v>
      </c>
      <c r="F16" s="15" t="n">
        <v>4500</v>
      </c>
      <c r="G16" s="15" t="n">
        <v>8300</v>
      </c>
      <c r="H16" s="16" t="inlineStr">
        <is>
          <t>百万円</t>
        </is>
      </c>
      <c r="I16" s="17" t="inlineStr">
        <is>
          <t>［仮置き］</t>
        </is>
      </c>
      <c r="J16" s="7" t="inlineStr">
        <is>
          <t>5期83億。ココナラの流通高に迫る規模</t>
        </is>
      </c>
    </row>
    <row r="17">
      <c r="A17" s="4" t="inlineStr"/>
      <c r="B17" s="5" t="inlineStr">
        <is>
          <t>手数料率</t>
        </is>
      </c>
      <c r="C17" s="19" t="n">
        <v>0.18</v>
      </c>
      <c r="D17" s="19" t="n">
        <v>0.18</v>
      </c>
      <c r="E17" s="19" t="n">
        <v>0.18</v>
      </c>
      <c r="F17" s="19" t="n">
        <v>0.18</v>
      </c>
      <c r="G17" s="19" t="n">
        <v>0.18</v>
      </c>
      <c r="H17" s="16" t="inlineStr">
        <is>
          <t>%</t>
        </is>
      </c>
      <c r="I17" s="17" t="inlineStr">
        <is>
          <t>［仮置き］</t>
        </is>
      </c>
      <c r="J17" s="7" t="inlineStr">
        <is>
          <t>収納代行型。当社は資金を保持しない</t>
        </is>
      </c>
    </row>
    <row r="18">
      <c r="A18" s="4" t="inlineStr"/>
      <c r="B18" s="5" t="inlineStr">
        <is>
          <t>粗利率</t>
        </is>
      </c>
      <c r="C18" s="19" t="n">
        <v>0.85</v>
      </c>
      <c r="D18" s="19" t="n">
        <v>0.85</v>
      </c>
      <c r="E18" s="19" t="n">
        <v>0.85</v>
      </c>
      <c r="F18" s="19" t="n">
        <v>0.85</v>
      </c>
      <c r="G18" s="19" t="n">
        <v>0.85</v>
      </c>
      <c r="H18" s="16" t="inlineStr">
        <is>
          <t>%</t>
        </is>
      </c>
      <c r="I18" s="17" t="inlineStr">
        <is>
          <t>［仮置き］</t>
        </is>
      </c>
      <c r="J18" s="7" t="inlineStr">
        <is>
          <t>決済手数料控除後</t>
        </is>
      </c>
    </row>
    <row r="19">
      <c r="A19" s="4" t="inlineStr">
        <is>
          <t>費用</t>
        </is>
      </c>
      <c r="B19" s="5" t="inlineStr">
        <is>
          <t>研究開発費</t>
        </is>
      </c>
      <c r="C19" s="15" t="n">
        <v>30</v>
      </c>
      <c r="D19" s="15" t="n">
        <v>120</v>
      </c>
      <c r="E19" s="15" t="n">
        <v>450</v>
      </c>
      <c r="F19" s="15" t="n">
        <v>1000</v>
      </c>
      <c r="G19" s="15" t="n">
        <v>1600</v>
      </c>
      <c r="H19" s="16" t="inlineStr">
        <is>
          <t>百万円</t>
        </is>
      </c>
      <c r="I19" s="17" t="inlineStr">
        <is>
          <t>［仮置き］</t>
        </is>
      </c>
      <c r="J19" s="7" t="inlineStr">
        <is>
          <t>クラウドGPU・ライセンス・データ基盤。AX倍率を上げ続けるための投資</t>
        </is>
      </c>
    </row>
    <row r="20">
      <c r="A20" s="4" t="inlineStr"/>
      <c r="B20" s="5" t="inlineStr">
        <is>
          <t>BPO（CS・運用）</t>
        </is>
      </c>
      <c r="C20" s="15" t="n">
        <v>0</v>
      </c>
      <c r="D20" s="15" t="n">
        <v>10</v>
      </c>
      <c r="E20" s="15" t="n">
        <v>120</v>
      </c>
      <c r="F20" s="15" t="n">
        <v>450</v>
      </c>
      <c r="G20" s="15" t="n">
        <v>1000</v>
      </c>
      <c r="H20" s="16" t="inlineStr">
        <is>
          <t>百万円</t>
        </is>
      </c>
      <c r="I20" s="17" t="inlineStr">
        <is>
          <t>［仮置き］</t>
        </is>
      </c>
      <c r="J20" s="7" t="inlineStr">
        <is>
          <t>社員ではなく外部委託</t>
        </is>
      </c>
    </row>
    <row r="21">
      <c r="A21" s="4" t="inlineStr"/>
      <c r="B21" s="5" t="inlineStr">
        <is>
          <t>獲得費（固定分）</t>
        </is>
      </c>
      <c r="C21" s="15" t="n">
        <v>6</v>
      </c>
      <c r="D21" s="15" t="n">
        <v>40</v>
      </c>
      <c r="E21" s="15" t="n">
        <v>90</v>
      </c>
      <c r="F21" s="15" t="n">
        <v>150</v>
      </c>
      <c r="G21" s="15" t="n">
        <v>200</v>
      </c>
      <c r="H21" s="16" t="inlineStr">
        <is>
          <t>百万円</t>
        </is>
      </c>
      <c r="I21" s="17" t="inlineStr">
        <is>
          <t>［仮置き］</t>
        </is>
      </c>
      <c r="J21" s="7" t="inlineStr">
        <is>
          <t>C2C発注者の獲得ほか</t>
        </is>
      </c>
    </row>
    <row r="22">
      <c r="A22" s="4" t="inlineStr"/>
      <c r="B22" s="5" t="inlineStr">
        <is>
          <t>獲得費率（制作売上比）</t>
        </is>
      </c>
      <c r="C22" s="19" t="n">
        <v>0.06</v>
      </c>
      <c r="D22" s="19" t="n">
        <v>0.06</v>
      </c>
      <c r="E22" s="19" t="n">
        <v>0.06</v>
      </c>
      <c r="F22" s="19" t="n">
        <v>0.06</v>
      </c>
      <c r="G22" s="19" t="n">
        <v>0.06</v>
      </c>
      <c r="H22" s="16" t="inlineStr">
        <is>
          <t>%</t>
        </is>
      </c>
      <c r="I22" s="17" t="inlineStr">
        <is>
          <t>［仮置き］</t>
        </is>
      </c>
      <c r="J22" s="7" t="inlineStr">
        <is>
          <t>SALES_COST.md</t>
        </is>
      </c>
    </row>
    <row r="23">
      <c r="A23" s="4" t="inlineStr"/>
      <c r="B23" s="5" t="inlineStr">
        <is>
          <t>獲得費率（ツール売上比）</t>
        </is>
      </c>
      <c r="C23" s="19" t="n">
        <v>0.15</v>
      </c>
      <c r="D23" s="19" t="n">
        <v>0.15</v>
      </c>
      <c r="E23" s="19" t="n">
        <v>0.15</v>
      </c>
      <c r="F23" s="19" t="n">
        <v>0.15</v>
      </c>
      <c r="G23" s="19" t="n">
        <v>0.15</v>
      </c>
      <c r="H23" s="16" t="inlineStr">
        <is>
          <t>%</t>
        </is>
      </c>
      <c r="I23" s="17" t="inlineStr">
        <is>
          <t>［仮置き］</t>
        </is>
      </c>
      <c r="J23" s="7" t="inlineStr">
        <is>
          <t>営業・CS</t>
        </is>
      </c>
    </row>
    <row r="24">
      <c r="A24" s="4" t="inlineStr"/>
      <c r="B24" s="5" t="inlineStr">
        <is>
          <t>その他販管費率（売上比）</t>
        </is>
      </c>
      <c r="C24" s="19" t="n">
        <v>0.04</v>
      </c>
      <c r="D24" s="19" t="n">
        <v>0.04</v>
      </c>
      <c r="E24" s="19" t="n">
        <v>0.04</v>
      </c>
      <c r="F24" s="19" t="n">
        <v>0.04</v>
      </c>
      <c r="G24" s="19" t="n">
        <v>0.04</v>
      </c>
      <c r="H24" s="16" t="inlineStr">
        <is>
          <t>%</t>
        </is>
      </c>
      <c r="I24" s="17" t="inlineStr">
        <is>
          <t>［仮置き］</t>
        </is>
      </c>
      <c r="J24" s="7" t="inlineStr">
        <is>
          <t>オフィス・SaaS・法務・インフラ</t>
        </is>
      </c>
    </row>
    <row r="25">
      <c r="A25" s="4" t="inlineStr"/>
      <c r="B25" s="5" t="inlineStr">
        <is>
          <t>法定福利費等の負担率</t>
        </is>
      </c>
      <c r="C25" s="20" t="n">
        <v>1.16</v>
      </c>
      <c r="D25" s="20" t="n">
        <v>1.16</v>
      </c>
      <c r="E25" s="20" t="n">
        <v>1.16</v>
      </c>
      <c r="F25" s="20" t="n">
        <v>1.16</v>
      </c>
      <c r="G25" s="20" t="n">
        <v>1.16</v>
      </c>
      <c r="H25" s="16" t="inlineStr">
        <is>
          <t>倍</t>
        </is>
      </c>
      <c r="I25" s="17" t="inlineStr">
        <is>
          <t>［仮置き］</t>
        </is>
      </c>
      <c r="J25" s="7" t="inlineStr">
        <is>
          <t>年収に対する会社負担（社会保険・採用教育の按分）</t>
        </is>
      </c>
    </row>
    <row r="26">
      <c r="A26" s="4" t="inlineStr">
        <is>
          <t>資金</t>
        </is>
      </c>
      <c r="B26" s="5" t="inlineStr">
        <is>
          <t>実効税率</t>
        </is>
      </c>
      <c r="C26" s="19" t="n">
        <v>0.3</v>
      </c>
      <c r="D26" s="19" t="n">
        <v>0.3</v>
      </c>
      <c r="E26" s="19" t="n">
        <v>0.3</v>
      </c>
      <c r="F26" s="19" t="n">
        <v>0.3</v>
      </c>
      <c r="G26" s="19" t="n">
        <v>0.3</v>
      </c>
      <c r="H26" s="16" t="inlineStr">
        <is>
          <t>%</t>
        </is>
      </c>
      <c r="I26" s="17" t="inlineStr">
        <is>
          <t>［仮置き］</t>
        </is>
      </c>
      <c r="J26" s="7" t="inlineStr">
        <is>
          <t>繰越欠損金の控除後に適用</t>
        </is>
      </c>
    </row>
    <row r="27">
      <c r="A27" s="4" t="inlineStr"/>
      <c r="B27" s="5" t="inlineStr">
        <is>
          <t>売上債権 回転日数（制作）</t>
        </is>
      </c>
      <c r="C27" s="15" t="n">
        <v>60</v>
      </c>
      <c r="D27" s="15" t="n">
        <v>60</v>
      </c>
      <c r="E27" s="15" t="n">
        <v>60</v>
      </c>
      <c r="F27" s="15" t="n">
        <v>60</v>
      </c>
      <c r="G27" s="15" t="n">
        <v>60</v>
      </c>
      <c r="H27" s="16" t="inlineStr">
        <is>
          <t>日</t>
        </is>
      </c>
      <c r="I27" s="17" t="inlineStr">
        <is>
          <t>［仮置き］</t>
        </is>
      </c>
      <c r="J27" s="7" t="inlineStr">
        <is>
          <t>検収後の入金サイト</t>
        </is>
      </c>
    </row>
    <row r="28">
      <c r="A28" s="4" t="inlineStr"/>
      <c r="B28" s="5" t="inlineStr">
        <is>
          <t>仕入債務 回転日数（制作原価）</t>
        </is>
      </c>
      <c r="C28" s="15" t="n">
        <v>30</v>
      </c>
      <c r="D28" s="15" t="n">
        <v>30</v>
      </c>
      <c r="E28" s="15" t="n">
        <v>30</v>
      </c>
      <c r="F28" s="15" t="n">
        <v>30</v>
      </c>
      <c r="G28" s="15" t="n">
        <v>30</v>
      </c>
      <c r="H28" s="16" t="inlineStr">
        <is>
          <t>日</t>
        </is>
      </c>
      <c r="I28" s="17" t="inlineStr">
        <is>
          <t>［仮置き］</t>
        </is>
      </c>
      <c r="J28" s="7" t="inlineStr">
        <is>
          <t>中国の制作パートナーへの支払サイト</t>
        </is>
      </c>
    </row>
    <row r="29">
      <c r="A29" s="4" t="inlineStr"/>
      <c r="B29" s="5" t="inlineStr">
        <is>
          <t>ツール外販の前受期間</t>
        </is>
      </c>
      <c r="C29" s="15" t="n">
        <v>180</v>
      </c>
      <c r="D29" s="15" t="n">
        <v>180</v>
      </c>
      <c r="E29" s="15" t="n">
        <v>180</v>
      </c>
      <c r="F29" s="15" t="n">
        <v>180</v>
      </c>
      <c r="G29" s="15" t="n">
        <v>180</v>
      </c>
      <c r="H29" s="16" t="inlineStr">
        <is>
          <t>日</t>
        </is>
      </c>
      <c r="I29" s="17" t="inlineStr">
        <is>
          <t>［仮置き］</t>
        </is>
      </c>
      <c r="J29" s="7" t="inlineStr">
        <is>
          <t>年額一括前受の平均残高。月額課金にすると0日になり資金繰りは厳しくなる</t>
        </is>
      </c>
    </row>
    <row r="30">
      <c r="A30" s="4" t="inlineStr"/>
      <c r="B30" s="5" t="inlineStr">
        <is>
          <t>設備投資</t>
        </is>
      </c>
      <c r="C30" s="15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16" t="inlineStr">
        <is>
          <t>百万円</t>
        </is>
      </c>
      <c r="I30" s="16" t="inlineStr">
        <is>
          <t>方針</t>
        </is>
      </c>
      <c r="J30" s="7" t="inlineStr">
        <is>
          <t>クラウドGPU前提のため自社設備を持たない。GPU費用は研究開発費に計上</t>
        </is>
      </c>
    </row>
    <row r="31">
      <c r="A31" s="4" t="inlineStr"/>
      <c r="B31" s="5" t="inlineStr">
        <is>
          <t>調達：シード</t>
        </is>
      </c>
      <c r="C31" s="15" t="n">
        <v>150</v>
      </c>
      <c r="D31" s="15" t="n">
        <v>0</v>
      </c>
      <c r="E31" s="15" t="n">
        <v>0</v>
      </c>
      <c r="F31" s="15" t="n">
        <v>0</v>
      </c>
      <c r="G31" s="15" t="n">
        <v>0</v>
      </c>
      <c r="H31" s="16" t="inlineStr">
        <is>
          <t>百万円</t>
        </is>
      </c>
      <c r="I31" s="16" t="inlineStr">
        <is>
          <t>確定</t>
        </is>
      </c>
      <c r="J31" s="7" t="inlineStr">
        <is>
          <t>J-KISS 1.42億 ＋ 代表個人の直接出資 0.08億</t>
        </is>
      </c>
    </row>
    <row r="32">
      <c r="A32" s="4" t="inlineStr"/>
      <c r="B32" s="5" t="inlineStr">
        <is>
          <t>調達：シリーズA</t>
        </is>
      </c>
      <c r="C32" s="15" t="n">
        <v>0</v>
      </c>
      <c r="D32" s="15" t="n">
        <v>300</v>
      </c>
      <c r="E32" s="15" t="n">
        <v>0</v>
      </c>
      <c r="F32" s="15" t="n">
        <v>0</v>
      </c>
      <c r="G32" s="15" t="n">
        <v>0</v>
      </c>
      <c r="H32" s="16" t="inlineStr">
        <is>
          <t>百万円</t>
        </is>
      </c>
      <c r="I32" s="16" t="inlineStr">
        <is>
          <t>計画</t>
        </is>
      </c>
      <c r="J32" s="7" t="inlineStr">
        <is>
          <t>2期。これが無いと2期末に資金ショートする</t>
        </is>
      </c>
    </row>
    <row r="33">
      <c r="A33" s="4" t="inlineStr"/>
      <c r="B33" s="5" t="inlineStr">
        <is>
          <t>調達：借入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6" t="inlineStr">
        <is>
          <t>百万円</t>
        </is>
      </c>
      <c r="I33" s="16" t="inlineStr">
        <is>
          <t>方針</t>
        </is>
      </c>
      <c r="J33" s="7" t="inlineStr">
        <is>
          <t>借入はしない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52" customWidth="1" min="8" max="8"/>
  </cols>
  <sheetData>
    <row r="1">
      <c r="A1" s="1" t="inlineStr">
        <is>
          <t>人員と人件費（社員は極小）</t>
        </is>
      </c>
    </row>
    <row r="2">
      <c r="A2" s="2" t="inlineStr">
        <is>
          <t>制作ディレクション・CS・オペレーションは社員ではなく業務委託／BPO。社員は経営・モデル開発・各機能の統括・管理のみ。</t>
        </is>
      </c>
    </row>
    <row r="3" ht="20" customHeight="1">
      <c r="A3" s="3" t="inlineStr">
        <is>
          <t>職種</t>
        </is>
      </c>
      <c r="B3" s="3" t="inlineStr">
        <is>
          <t>年収(万円)</t>
        </is>
      </c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考え方</t>
        </is>
      </c>
    </row>
    <row r="4">
      <c r="A4" s="5" t="inlineStr">
        <is>
          <t>経営・CxO</t>
        </is>
      </c>
      <c r="B4" s="15" t="n">
        <v>900</v>
      </c>
      <c r="C4" s="15" t="n">
        <v>1</v>
      </c>
      <c r="D4" s="15" t="n">
        <v>1</v>
      </c>
      <c r="E4" s="15" t="n">
        <v>2</v>
      </c>
      <c r="F4" s="15" t="n">
        <v>3</v>
      </c>
      <c r="G4" s="15" t="n">
        <v>3</v>
      </c>
      <c r="H4" s="7" t="inlineStr">
        <is>
          <t>代表＋CFO／CTO級</t>
        </is>
      </c>
    </row>
    <row r="5">
      <c r="A5" s="5" t="inlineStr">
        <is>
          <t>モデル開発エンジニア</t>
        </is>
      </c>
      <c r="B5" s="15" t="n">
        <v>850</v>
      </c>
      <c r="C5" s="15" t="n">
        <v>2</v>
      </c>
      <c r="D5" s="15" t="n">
        <v>6</v>
      </c>
      <c r="E5" s="15" t="n">
        <v>16</v>
      </c>
      <c r="F5" s="15" t="n">
        <v>28</v>
      </c>
      <c r="G5" s="15" t="n">
        <v>40</v>
      </c>
      <c r="H5" s="7" t="inlineStr">
        <is>
          <t>AX倍率を上げ続ける中核。ここだけ厚くする</t>
        </is>
      </c>
    </row>
    <row r="6">
      <c r="A6" s="5" t="inlineStr">
        <is>
          <t>制作統括</t>
        </is>
      </c>
      <c r="B6" s="15" t="n">
        <v>650</v>
      </c>
      <c r="C6" s="15" t="n">
        <v>1</v>
      </c>
      <c r="D6" s="15" t="n">
        <v>2</v>
      </c>
      <c r="E6" s="15" t="n">
        <v>3</v>
      </c>
      <c r="F6" s="15" t="n">
        <v>3</v>
      </c>
      <c r="G6" s="15" t="n">
        <v>3</v>
      </c>
      <c r="H6" s="7" t="inlineStr">
        <is>
          <t>業務委託ディレクターの束ね役。本数に比例させない</t>
        </is>
      </c>
    </row>
    <row r="7">
      <c r="A7" s="5" t="inlineStr">
        <is>
          <t>事業開発・アライアンス</t>
        </is>
      </c>
      <c r="B7" s="15" t="n">
        <v>700</v>
      </c>
      <c r="C7" s="15" t="n">
        <v>1</v>
      </c>
      <c r="D7" s="15" t="n">
        <v>2</v>
      </c>
      <c r="E7" s="15" t="n">
        <v>4</v>
      </c>
      <c r="F7" s="15" t="n">
        <v>5</v>
      </c>
      <c r="G7" s="15" t="n">
        <v>6</v>
      </c>
      <c r="H7" s="7" t="inlineStr">
        <is>
          <t>法人開拓・海外展開</t>
        </is>
      </c>
    </row>
    <row r="8">
      <c r="A8" s="5" t="inlineStr">
        <is>
          <t>クリエイターネットワーク統括</t>
        </is>
      </c>
      <c r="B8" s="15" t="n">
        <v>600</v>
      </c>
      <c r="C8" s="15" t="n">
        <v>1</v>
      </c>
      <c r="D8" s="15" t="n">
        <v>1</v>
      </c>
      <c r="E8" s="15" t="n">
        <v>2</v>
      </c>
      <c r="F8" s="15" t="n">
        <v>3</v>
      </c>
      <c r="G8" s="15" t="n">
        <v>3</v>
      </c>
      <c r="H8" s="7" t="inlineStr">
        <is>
          <t>中国パートナー・登録クリエイター管理</t>
        </is>
      </c>
    </row>
    <row r="9">
      <c r="A9" s="5" t="inlineStr">
        <is>
          <t>管理・コーポレート</t>
        </is>
      </c>
      <c r="B9" s="15" t="n">
        <v>550</v>
      </c>
      <c r="C9" s="15" t="n">
        <v>0</v>
      </c>
      <c r="D9" s="15" t="n">
        <v>1</v>
      </c>
      <c r="E9" s="15" t="n">
        <v>2</v>
      </c>
      <c r="F9" s="15" t="n">
        <v>4</v>
      </c>
      <c r="G9" s="15" t="n">
        <v>6</v>
      </c>
      <c r="H9" s="7" t="inlineStr">
        <is>
          <t>経理・法務・上場準備</t>
        </is>
      </c>
    </row>
    <row r="10">
      <c r="A10" s="4" t="inlineStr">
        <is>
          <t>社員数 合計</t>
        </is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  <c r="H10" s="7" t="inlineStr">
        <is>
          <t>ここが「社員は極小」の実数</t>
        </is>
      </c>
    </row>
    <row r="11">
      <c r="A11" s="4" t="inlineStr">
        <is>
          <t>人件費（百万円）</t>
        </is>
      </c>
      <c r="C11" s="21">
        <f>SUMPRODUCT($B$4:$B$9,C4:C9)*前提!$C$25/100</f>
        <v/>
      </c>
      <c r="D11" s="21">
        <f>SUMPRODUCT($B$4:$B$9,D4:D9)*前提!$D$25/100</f>
        <v/>
      </c>
      <c r="E11" s="21">
        <f>SUMPRODUCT($B$4:$B$9,E4:E9)*前提!$E$25/100</f>
        <v/>
      </c>
      <c r="F11" s="21">
        <f>SUMPRODUCT($B$4:$B$9,F4:F9)*前提!$F$25/100</f>
        <v/>
      </c>
      <c r="G11" s="21">
        <f>SUMPRODUCT($B$4:$B$9,G4:G9)*前提!$G$25/100</f>
        <v/>
      </c>
    </row>
    <row r="12">
      <c r="A12" s="4" t="inlineStr">
        <is>
          <t>1人あたり人件費（万円）</t>
        </is>
      </c>
      <c r="C12" s="22">
        <f>IF(C10=0,0,C11*100/C10)</f>
        <v/>
      </c>
      <c r="D12" s="22">
        <f>IF(D10=0,0,D11*100/D10)</f>
        <v/>
      </c>
      <c r="E12" s="22">
        <f>IF(E10=0,0,E11*100/E10)</f>
        <v/>
      </c>
      <c r="F12" s="22">
        <f>IF(F10=0,0,F11*100/F10)</f>
        <v/>
      </c>
      <c r="G12" s="22">
        <f>IF(G10=0,0,G11*100/G10)</f>
        <v/>
      </c>
      <c r="H12" s="7" t="inlineStr">
        <is>
          <t>安い職種が社外に出るので平均単価は上がる。総額は抑えられる</t>
        </is>
      </c>
    </row>
    <row r="14">
      <c r="A14" s="12" t="inlineStr">
        <is>
          <t>参考：社員ではない人たち</t>
        </is>
      </c>
    </row>
    <row r="15" ht="20" customHeight="1">
      <c r="A15" s="3" t="inlineStr">
        <is>
          <t>区分</t>
        </is>
      </c>
      <c r="B15" s="3" t="inlineStr"/>
      <c r="C15" s="3" t="inlineStr">
        <is>
          <t>1期</t>
        </is>
      </c>
      <c r="D15" s="3" t="inlineStr">
        <is>
          <t>2期</t>
        </is>
      </c>
      <c r="E15" s="3" t="inlineStr">
        <is>
          <t>3期</t>
        </is>
      </c>
      <c r="F15" s="3" t="inlineStr">
        <is>
          <t>4期</t>
        </is>
      </c>
      <c r="G15" s="3" t="inlineStr">
        <is>
          <t>5期</t>
        </is>
      </c>
      <c r="H15" s="3" t="inlineStr">
        <is>
          <t>考え方</t>
        </is>
      </c>
    </row>
    <row r="16">
      <c r="A16" s="5" t="inlineStr">
        <is>
          <t>業務委託ディレクション（人）</t>
        </is>
      </c>
      <c r="C16" s="8">
        <f>前提!$C$4*(1/120+1/90)/前提!$C$6</f>
        <v/>
      </c>
      <c r="D16" s="8">
        <f>前提!$D$4*(1/120+1/90)/前提!$D$6</f>
        <v/>
      </c>
      <c r="E16" s="8">
        <f>前提!$E$4*(1/120+1/90)/前提!$E$6</f>
        <v/>
      </c>
      <c r="F16" s="8">
        <f>前提!$F$4*(1/120+1/90)/前提!$F$6</f>
        <v/>
      </c>
      <c r="G16" s="8">
        <f>前提!$G$4*(1/120+1/90)/前提!$G$6</f>
        <v/>
      </c>
      <c r="H16" s="7" t="inlineStr">
        <is>
          <t>従来の1本あたり人年（1/120＋1/90）をAX倍率で除す</t>
        </is>
      </c>
    </row>
    <row r="17">
      <c r="A17" s="5" t="inlineStr">
        <is>
          <t>中国クリエイター 稼働（人）</t>
        </is>
      </c>
      <c r="C17" s="8">
        <f>前提!$C$4/(36*前提!$C$6)</f>
        <v/>
      </c>
      <c r="D17" s="8">
        <f>前提!$D$4/(36*前提!$D$6)</f>
        <v/>
      </c>
      <c r="E17" s="8">
        <f>前提!$E$4/(36*前提!$E$6)</f>
        <v/>
      </c>
      <c r="F17" s="8">
        <f>前提!$F$4/(36*前提!$F$6)</f>
        <v/>
      </c>
      <c r="G17" s="8">
        <f>前提!$G$4/(36*前提!$G$6)</f>
        <v/>
      </c>
      <c r="H17" s="7" t="inlineStr">
        <is>
          <t>1人あたり年36本を前提［仮置き］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4" customWidth="1" min="8" max="8"/>
  </cols>
  <sheetData>
    <row r="1">
      <c r="A1" s="1" t="inlineStr">
        <is>
          <t>5年損益計算書（単位：百万円）</t>
        </is>
      </c>
    </row>
    <row r="2">
      <c r="A2" s="2" t="inlineStr">
        <is>
          <t>すべて数式。「前提」シートと「人員と人件費」シートを参照している。</t>
        </is>
      </c>
    </row>
    <row r="3" ht="20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5" t="inlineStr">
        <is>
          <t>① 映像制作</t>
        </is>
      </c>
      <c r="B4" s="5" t="inlineStr"/>
      <c r="C4" s="8">
        <f>前提!$C$4*前提!$C$5/100</f>
        <v/>
      </c>
      <c r="D4" s="8">
        <f>前提!$D$4*前提!$D$5/100</f>
        <v/>
      </c>
      <c r="E4" s="8">
        <f>前提!$E$4*前提!$E$5/100</f>
        <v/>
      </c>
      <c r="F4" s="8">
        <f>前提!$F$4*前提!$F$5/100</f>
        <v/>
      </c>
      <c r="G4" s="8">
        <f>前提!$G$4*前提!$G$5/100</f>
        <v/>
      </c>
      <c r="H4" s="7" t="inlineStr">
        <is>
          <t>受注本数 × 平均単価</t>
        </is>
      </c>
    </row>
    <row r="5">
      <c r="A5" s="5" t="inlineStr">
        <is>
          <t xml:space="preserve">　　受注本数（本）</t>
        </is>
      </c>
      <c r="B5" s="5" t="inlineStr"/>
      <c r="C5" s="8">
        <f>前提!$C$4</f>
        <v/>
      </c>
      <c r="D5" s="8">
        <f>前提!$D$4</f>
        <v/>
      </c>
      <c r="E5" s="8">
        <f>前提!$E$4</f>
        <v/>
      </c>
      <c r="F5" s="8">
        <f>前提!$F$4</f>
        <v/>
      </c>
      <c r="G5" s="8">
        <f>前提!$G$4</f>
        <v/>
      </c>
    </row>
    <row r="6">
      <c r="A6" s="5" t="inlineStr">
        <is>
          <t xml:space="preserve">　　AX倍率</t>
        </is>
      </c>
      <c r="B6" s="5" t="inlineStr"/>
      <c r="C6" s="11">
        <f>前提!$C$6</f>
        <v/>
      </c>
      <c r="D6" s="11">
        <f>前提!$D$6</f>
        <v/>
      </c>
      <c r="E6" s="11">
        <f>前提!$E$6</f>
        <v/>
      </c>
      <c r="F6" s="11">
        <f>前提!$F$6</f>
        <v/>
      </c>
      <c r="G6" s="11">
        <f>前提!$G$6</f>
        <v/>
      </c>
    </row>
    <row r="7">
      <c r="A7" s="5" t="inlineStr">
        <is>
          <t>② ツール外販</t>
        </is>
      </c>
      <c r="B7" s="5" t="inlineStr"/>
      <c r="C7" s="8">
        <f>前提!$C$11*前提!$C$12/100+前提!$C$13*前提!$C$14/100</f>
        <v/>
      </c>
      <c r="D7" s="8">
        <f>前提!$D$11*前提!$D$12/100+前提!$D$13*前提!$D$14/100</f>
        <v/>
      </c>
      <c r="E7" s="8">
        <f>前提!$E$11*前提!$E$12/100+前提!$E$13*前提!$E$14/100</f>
        <v/>
      </c>
      <c r="F7" s="8">
        <f>前提!$F$11*前提!$F$12/100+前提!$F$13*前提!$F$14/100</f>
        <v/>
      </c>
      <c r="G7" s="8">
        <f>前提!$G$11*前提!$G$12/100+前提!$G$13*前提!$G$14/100</f>
        <v/>
      </c>
      <c r="H7" s="7" t="inlineStr">
        <is>
          <t>法人契約数×ACV ＋ 個人契約数×ACV</t>
        </is>
      </c>
    </row>
    <row r="8">
      <c r="A8" s="5" t="inlineStr">
        <is>
          <t>③ C2C手数料</t>
        </is>
      </c>
      <c r="B8" s="5" t="inlineStr"/>
      <c r="C8" s="8">
        <f>前提!$C$16*前提!$C$17</f>
        <v/>
      </c>
      <c r="D8" s="8">
        <f>前提!$D$16*前提!$D$17</f>
        <v/>
      </c>
      <c r="E8" s="8">
        <f>前提!$E$16*前提!$E$17</f>
        <v/>
      </c>
      <c r="F8" s="8">
        <f>前提!$F$16*前提!$F$17</f>
        <v/>
      </c>
      <c r="G8" s="8">
        <f>前提!$G$16*前提!$G$17</f>
        <v/>
      </c>
      <c r="H8" s="7" t="inlineStr">
        <is>
          <t>GMV × 手数料率</t>
        </is>
      </c>
    </row>
    <row r="9">
      <c r="A9" s="4" t="inlineStr">
        <is>
          <t>売上高</t>
        </is>
      </c>
      <c r="B9" s="5" t="inlineStr"/>
      <c r="C9" s="6">
        <f>C4+C7+C8</f>
        <v/>
      </c>
      <c r="D9" s="6">
        <f>D4+D7+D8</f>
        <v/>
      </c>
      <c r="E9" s="6">
        <f>E4+E7+E8</f>
        <v/>
      </c>
      <c r="F9" s="6">
        <f>F4+F7+F8</f>
        <v/>
      </c>
      <c r="G9" s="6">
        <f>G4+G7+G8</f>
        <v/>
      </c>
    </row>
    <row r="11">
      <c r="A11" s="5" t="inlineStr">
        <is>
          <t>1本あたり原価（万円）</t>
        </is>
      </c>
      <c r="B11" s="5" t="inlineStr"/>
      <c r="C11" s="11">
        <f>前提!$C$7+前提!$C$8/前提!$C$6+前提!$C$9+前提!$C$10</f>
        <v/>
      </c>
      <c r="D11" s="11">
        <f>前提!$D$7+前提!$D$8/前提!$D$6+前提!$D$9+前提!$D$10</f>
        <v/>
      </c>
      <c r="E11" s="11">
        <f>前提!$E$7+前提!$E$8/前提!$E$6+前提!$E$9+前提!$E$10</f>
        <v/>
      </c>
      <c r="F11" s="11">
        <f>前提!$F$7+前提!$F$8/前提!$F$6+前提!$F$9+前提!$F$10</f>
        <v/>
      </c>
      <c r="G11" s="11">
        <f>前提!$G$7+前提!$G$8/前提!$G$6+前提!$G$9+前提!$G$10</f>
        <v/>
      </c>
      <c r="H11" s="7" t="inlineStr">
        <is>
          <t>ディレクション費はAX倍率で除される。ここがAXの効き所</t>
        </is>
      </c>
    </row>
    <row r="12">
      <c r="A12" s="5" t="inlineStr">
        <is>
          <t>① 売上総利益</t>
        </is>
      </c>
      <c r="B12" s="5" t="inlineStr"/>
      <c r="C12" s="8">
        <f>C4*(1-C11/前提!$C$5)</f>
        <v/>
      </c>
      <c r="D12" s="8">
        <f>D4*(1-D11/前提!$D$5)</f>
        <v/>
      </c>
      <c r="E12" s="8">
        <f>E4*(1-E11/前提!$E$5)</f>
        <v/>
      </c>
      <c r="F12" s="8">
        <f>F4*(1-F11/前提!$F$5)</f>
        <v/>
      </c>
      <c r="G12" s="8">
        <f>G4*(1-G11/前提!$G$5)</f>
        <v/>
      </c>
    </row>
    <row r="13">
      <c r="A13" s="5" t="inlineStr">
        <is>
          <t>② 売上総利益</t>
        </is>
      </c>
      <c r="B13" s="5" t="inlineStr"/>
      <c r="C13" s="8">
        <f>C7*前提!$C$15</f>
        <v/>
      </c>
      <c r="D13" s="8">
        <f>D7*前提!$D$15</f>
        <v/>
      </c>
      <c r="E13" s="8">
        <f>E7*前提!$E$15</f>
        <v/>
      </c>
      <c r="F13" s="8">
        <f>F7*前提!$F$15</f>
        <v/>
      </c>
      <c r="G13" s="8">
        <f>G7*前提!$G$15</f>
        <v/>
      </c>
    </row>
    <row r="14">
      <c r="A14" s="5" t="inlineStr">
        <is>
          <t>③ 売上総利益</t>
        </is>
      </c>
      <c r="B14" s="5" t="inlineStr"/>
      <c r="C14" s="8">
        <f>C8*前提!$C$18</f>
        <v/>
      </c>
      <c r="D14" s="8">
        <f>D8*前提!$D$18</f>
        <v/>
      </c>
      <c r="E14" s="8">
        <f>E8*前提!$E$18</f>
        <v/>
      </c>
      <c r="F14" s="8">
        <f>F8*前提!$F$18</f>
        <v/>
      </c>
      <c r="G14" s="8">
        <f>G8*前提!$G$18</f>
        <v/>
      </c>
    </row>
    <row r="15">
      <c r="A15" s="4" t="inlineStr">
        <is>
          <t>売上総利益</t>
        </is>
      </c>
      <c r="B15" s="5" t="inlineStr"/>
      <c r="C15" s="6">
        <f>C12+C13+C14</f>
        <v/>
      </c>
      <c r="D15" s="6">
        <f>D12+D13+D14</f>
        <v/>
      </c>
      <c r="E15" s="6">
        <f>E12+E13+E14</f>
        <v/>
      </c>
      <c r="F15" s="6">
        <f>F12+F13+F14</f>
        <v/>
      </c>
      <c r="G15" s="6">
        <f>G12+G13+G14</f>
        <v/>
      </c>
    </row>
    <row r="16">
      <c r="A16" s="5" t="inlineStr">
        <is>
          <t>（参考）売上原価</t>
        </is>
      </c>
      <c r="B16" s="5" t="inlineStr"/>
      <c r="C16" s="8">
        <f>C9-C15</f>
        <v/>
      </c>
      <c r="D16" s="8">
        <f>D9-D15</f>
        <v/>
      </c>
      <c r="E16" s="8">
        <f>E9-E15</f>
        <v/>
      </c>
      <c r="F16" s="8">
        <f>F9-F15</f>
        <v/>
      </c>
      <c r="G16" s="8">
        <f>G9-G15</f>
        <v/>
      </c>
    </row>
    <row r="17">
      <c r="A17" s="5" t="inlineStr">
        <is>
          <t xml:space="preserve">　　粗利率</t>
        </is>
      </c>
      <c r="B17" s="5" t="inlineStr"/>
      <c r="C17" s="10">
        <f>IF(C9=0,0,C15/C9)</f>
        <v/>
      </c>
      <c r="D17" s="10">
        <f>IF(D9=0,0,D15/D9)</f>
        <v/>
      </c>
      <c r="E17" s="10">
        <f>IF(E9=0,0,E15/E9)</f>
        <v/>
      </c>
      <c r="F17" s="10">
        <f>IF(F9=0,0,F15/F9)</f>
        <v/>
      </c>
      <c r="G17" s="10">
        <f>IF(G9=0,0,G15/G9)</f>
        <v/>
      </c>
    </row>
    <row r="19">
      <c r="A19" s="5" t="inlineStr">
        <is>
          <t>人件費（社員）</t>
        </is>
      </c>
      <c r="B19" s="5" t="inlineStr"/>
      <c r="C19" s="8">
        <f>'人員と人件費'!C11</f>
        <v/>
      </c>
      <c r="D19" s="8">
        <f>'人員と人件費'!D11</f>
        <v/>
      </c>
      <c r="E19" s="8">
        <f>'人員と人件費'!E11</f>
        <v/>
      </c>
      <c r="F19" s="8">
        <f>'人員と人件費'!F11</f>
        <v/>
      </c>
      <c r="G19" s="8">
        <f>'人員と人件費'!G11</f>
        <v/>
      </c>
      <c r="H19" s="7" t="inlineStr">
        <is>
          <t>社員のみ。業務委託・BPOは含まない</t>
        </is>
      </c>
    </row>
    <row r="20">
      <c r="A20" s="5" t="inlineStr">
        <is>
          <t>研究開発費</t>
        </is>
      </c>
      <c r="B20" s="5" t="inlineStr"/>
      <c r="C20" s="8">
        <f>前提!$C$19</f>
        <v/>
      </c>
      <c r="D20" s="8">
        <f>前提!$D$19</f>
        <v/>
      </c>
      <c r="E20" s="8">
        <f>前提!$E$19</f>
        <v/>
      </c>
      <c r="F20" s="8">
        <f>前提!$F$19</f>
        <v/>
      </c>
      <c r="G20" s="8">
        <f>前提!$G$19</f>
        <v/>
      </c>
      <c r="H20" s="7" t="inlineStr">
        <is>
          <t>AX倍率を上げ続けるための投資。ここを削ると計画が崩れる</t>
        </is>
      </c>
    </row>
    <row r="21">
      <c r="A21" s="5" t="inlineStr">
        <is>
          <t>BPO（CS・運用）</t>
        </is>
      </c>
      <c r="B21" s="5" t="inlineStr"/>
      <c r="C21" s="8">
        <f>前提!$C$20</f>
        <v/>
      </c>
      <c r="D21" s="8">
        <f>前提!$D$20</f>
        <v/>
      </c>
      <c r="E21" s="8">
        <f>前提!$E$20</f>
        <v/>
      </c>
      <c r="F21" s="8">
        <f>前提!$F$20</f>
        <v/>
      </c>
      <c r="G21" s="8">
        <f>前提!$G$20</f>
        <v/>
      </c>
    </row>
    <row r="22">
      <c r="A22" s="5" t="inlineStr">
        <is>
          <t>獲得費</t>
        </is>
      </c>
      <c r="B22" s="5" t="inlineStr"/>
      <c r="C22" s="8">
        <f>C4*前提!$C$22+C7*前提!$C$23+前提!$C$21</f>
        <v/>
      </c>
      <c r="D22" s="8">
        <f>D4*前提!$D$22+D7*前提!$D$23+前提!$D$21</f>
        <v/>
      </c>
      <c r="E22" s="8">
        <f>E4*前提!$E$22+E7*前提!$E$23+前提!$E$21</f>
        <v/>
      </c>
      <c r="F22" s="8">
        <f>F4*前提!$F$22+F7*前提!$F$23+前提!$F$21</f>
        <v/>
      </c>
      <c r="G22" s="8">
        <f>G4*前提!$G$22+G7*前提!$G$23+前提!$G$21</f>
        <v/>
      </c>
    </row>
    <row r="23">
      <c r="A23" s="5" t="inlineStr">
        <is>
          <t>その他販管費</t>
        </is>
      </c>
      <c r="B23" s="5" t="inlineStr"/>
      <c r="C23" s="8">
        <f>C9*前提!$C$24</f>
        <v/>
      </c>
      <c r="D23" s="8">
        <f>D9*前提!$D$24</f>
        <v/>
      </c>
      <c r="E23" s="8">
        <f>E9*前提!$E$24</f>
        <v/>
      </c>
      <c r="F23" s="8">
        <f>F9*前提!$F$24</f>
        <v/>
      </c>
      <c r="G23" s="8">
        <f>G9*前提!$G$24</f>
        <v/>
      </c>
    </row>
    <row r="24">
      <c r="A24" s="4" t="inlineStr">
        <is>
          <t>販売費・一般管理費 計</t>
        </is>
      </c>
      <c r="B24" s="5" t="inlineStr"/>
      <c r="C24" s="23">
        <f>SUM(C19:C23)</f>
        <v/>
      </c>
      <c r="D24" s="23">
        <f>SUM(D19:D23)</f>
        <v/>
      </c>
      <c r="E24" s="23">
        <f>SUM(E19:E23)</f>
        <v/>
      </c>
      <c r="F24" s="23">
        <f>SUM(F19:F23)</f>
        <v/>
      </c>
      <c r="G24" s="23">
        <f>SUM(G19:G23)</f>
        <v/>
      </c>
    </row>
    <row r="25">
      <c r="A25" s="4" t="inlineStr">
        <is>
          <t>営業利益</t>
        </is>
      </c>
      <c r="B25" s="5" t="inlineStr"/>
      <c r="C25" s="6">
        <f>C15-C24</f>
        <v/>
      </c>
      <c r="D25" s="6">
        <f>D15-D24</f>
        <v/>
      </c>
      <c r="E25" s="6">
        <f>E15-E24</f>
        <v/>
      </c>
      <c r="F25" s="6">
        <f>F15-F24</f>
        <v/>
      </c>
      <c r="G25" s="6">
        <f>G15-G24</f>
        <v/>
      </c>
    </row>
    <row r="26">
      <c r="A26" s="4" t="inlineStr">
        <is>
          <t xml:space="preserve">　　営業利益率</t>
        </is>
      </c>
      <c r="B26" s="5" t="inlineStr"/>
      <c r="C26" s="24">
        <f>IF(C9=0,0,C25/C9)</f>
        <v/>
      </c>
      <c r="D26" s="24">
        <f>IF(D9=0,0,D25/D9)</f>
        <v/>
      </c>
      <c r="E26" s="24">
        <f>IF(E9=0,0,E25/E9)</f>
        <v/>
      </c>
      <c r="F26" s="24">
        <f>IF(F9=0,0,F25/F9)</f>
        <v/>
      </c>
      <c r="G26" s="24">
        <f>IF(G9=0,0,G25/G9)</f>
        <v/>
      </c>
    </row>
    <row r="28">
      <c r="A28" s="12" t="inlineStr">
        <is>
          <t>投資家が見る指標</t>
        </is>
      </c>
    </row>
    <row r="29">
      <c r="A29" s="5" t="inlineStr">
        <is>
          <t>社員数</t>
        </is>
      </c>
      <c r="B29" s="5" t="inlineStr"/>
      <c r="C29" s="8">
        <f>'人員と人件費'!C10</f>
        <v/>
      </c>
      <c r="D29" s="8">
        <f>'人員と人件費'!D10</f>
        <v/>
      </c>
      <c r="E29" s="8">
        <f>'人員と人件費'!E10</f>
        <v/>
      </c>
      <c r="F29" s="8">
        <f>'人員と人件費'!F10</f>
        <v/>
      </c>
      <c r="G29" s="8">
        <f>'人員と人件費'!G10</f>
        <v/>
      </c>
    </row>
    <row r="30">
      <c r="A30" s="4" t="inlineStr">
        <is>
          <t>売上 / 社員（万円）</t>
        </is>
      </c>
      <c r="B30" s="5" t="inlineStr"/>
      <c r="C30" s="6">
        <f>IF(C29=0,0,C9*100/C29)</f>
        <v/>
      </c>
      <c r="D30" s="6">
        <f>IF(D29=0,0,D9*100/D29)</f>
        <v/>
      </c>
      <c r="E30" s="6">
        <f>IF(E29=0,0,E9*100/E29)</f>
        <v/>
      </c>
      <c r="F30" s="6">
        <f>IF(F29=0,0,F9*100/F29)</f>
        <v/>
      </c>
      <c r="G30" s="6">
        <f>IF(G29=0,0,G9*100/G29)</f>
        <v/>
      </c>
      <c r="H30" s="7" t="inlineStr">
        <is>
          <t>国内SaaSの平均2,000〜4,000万との比較に使う</t>
        </is>
      </c>
    </row>
    <row r="31">
      <c r="A31" s="5" t="inlineStr">
        <is>
          <t>研究開発費 ÷ 売上</t>
        </is>
      </c>
      <c r="B31" s="5" t="inlineStr"/>
      <c r="C31" s="10">
        <f>IF(C9=0,0,C20/C9)</f>
        <v/>
      </c>
      <c r="D31" s="10">
        <f>IF(D9=0,0,D20/D9)</f>
        <v/>
      </c>
      <c r="E31" s="10">
        <f>IF(E9=0,0,E20/E9)</f>
        <v/>
      </c>
      <c r="F31" s="10">
        <f>IF(F9=0,0,F20/F9)</f>
        <v/>
      </c>
      <c r="G31" s="10">
        <f>IF(G9=0,0,G20/G9)</f>
        <v/>
      </c>
    </row>
    <row r="32">
      <c r="A32" s="5" t="inlineStr">
        <is>
          <t>人手に比例しない収益</t>
        </is>
      </c>
      <c r="B32" s="5" t="inlineStr"/>
      <c r="C32" s="8">
        <f>C7+C8+C4*(1-1/前提!$C$6)</f>
        <v/>
      </c>
      <c r="D32" s="8">
        <f>D7+D8+D4*(1-1/前提!$D$6)</f>
        <v/>
      </c>
      <c r="E32" s="8">
        <f>E7+E8+E4*(1-1/前提!$E$6)</f>
        <v/>
      </c>
      <c r="F32" s="8">
        <f>F7+F8+F4*(1-1/前提!$F$6)</f>
        <v/>
      </c>
      <c r="G32" s="8">
        <f>G7+G8+G4*(1-1/前提!$G$6)</f>
        <v/>
      </c>
      <c r="H32" s="7" t="inlineStr">
        <is>
          <t>②＋③＋①のうちAXで人手から切れた分</t>
        </is>
      </c>
    </row>
    <row r="33">
      <c r="A33" s="4" t="inlineStr">
        <is>
          <t xml:space="preserve">　　同 比率</t>
        </is>
      </c>
      <c r="B33" s="5" t="inlineStr"/>
      <c r="C33" s="9">
        <f>IF(C9=0,0,C32/C9)</f>
        <v/>
      </c>
      <c r="D33" s="9">
        <f>IF(D9=0,0,D32/D9)</f>
        <v/>
      </c>
      <c r="E33" s="9">
        <f>IF(E9=0,0,E32/E9)</f>
        <v/>
      </c>
      <c r="F33" s="9">
        <f>IF(F9=0,0,F32/F9)</f>
        <v/>
      </c>
      <c r="G33" s="9">
        <f>IF(G9=0,0,G32/G9)</f>
        <v/>
      </c>
      <c r="H33" s="7" t="inlineStr">
        <is>
          <t>受託と読まれないための中心指標。5期で90%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4" customWidth="1" min="8" max="8"/>
  </cols>
  <sheetData>
    <row r="1">
      <c r="A1" s="1" t="inlineStr">
        <is>
          <t>資金計画・キャッシュフロー（単位：百万円）</t>
        </is>
      </c>
    </row>
    <row r="2">
      <c r="A2" s="2" t="inlineStr">
        <is>
          <t>営業利益からキャッシュ残高まで。運転資本と法人税を引いた後の、実際に手元に残る現金。</t>
        </is>
      </c>
    </row>
    <row r="3" ht="20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4" t="inlineStr">
        <is>
          <t>営業利益</t>
        </is>
      </c>
      <c r="B4" s="5" t="inlineStr"/>
      <c r="C4" s="23">
        <f>損益計算書!C25</f>
        <v/>
      </c>
      <c r="D4" s="23">
        <f>損益計算書!D25</f>
        <v/>
      </c>
      <c r="E4" s="23">
        <f>損益計算書!E25</f>
        <v/>
      </c>
      <c r="F4" s="23">
        <f>損益計算書!F25</f>
        <v/>
      </c>
      <c r="G4" s="23">
        <f>損益計算書!G25</f>
        <v/>
      </c>
    </row>
    <row r="5">
      <c r="A5" s="5" t="inlineStr">
        <is>
          <t xml:space="preserve">　繰越欠損金（期首）</t>
        </is>
      </c>
      <c r="B5" s="5" t="inlineStr"/>
      <c r="C5" s="8">
        <f>0</f>
        <v/>
      </c>
      <c r="D5" s="8">
        <f>MAX(0,C5-C4)</f>
        <v/>
      </c>
      <c r="E5" s="8">
        <f>MAX(0,D5-D4)</f>
        <v/>
      </c>
      <c r="F5" s="8">
        <f>MAX(0,E5-E4)</f>
        <v/>
      </c>
      <c r="G5" s="8">
        <f>MAX(0,F5-F4)</f>
        <v/>
      </c>
      <c r="H5" s="7" t="inlineStr">
        <is>
          <t>前期までの累積赤字。黒字化後の税負担を軽くする</t>
        </is>
      </c>
    </row>
    <row r="6">
      <c r="A6" s="5" t="inlineStr">
        <is>
          <t xml:space="preserve">　課税所得</t>
        </is>
      </c>
      <c r="B6" s="5" t="inlineStr"/>
      <c r="C6" s="8">
        <f>MAX(0,C4-C5)</f>
        <v/>
      </c>
      <c r="D6" s="8">
        <f>MAX(0,D4-D5)</f>
        <v/>
      </c>
      <c r="E6" s="8">
        <f>MAX(0,E4-E5)</f>
        <v/>
      </c>
      <c r="F6" s="8">
        <f>MAX(0,F4-F5)</f>
        <v/>
      </c>
      <c r="G6" s="8">
        <f>MAX(0,G4-G5)</f>
        <v/>
      </c>
    </row>
    <row r="7">
      <c r="A7" s="5" t="inlineStr">
        <is>
          <t>法人税等</t>
        </is>
      </c>
      <c r="B7" s="5" t="inlineStr"/>
      <c r="C7" s="8">
        <f>C6*前提!$C$26</f>
        <v/>
      </c>
      <c r="D7" s="8">
        <f>D6*前提!$D$26</f>
        <v/>
      </c>
      <c r="E7" s="8">
        <f>E6*前提!$E$26</f>
        <v/>
      </c>
      <c r="F7" s="8">
        <f>F6*前提!$F$26</f>
        <v/>
      </c>
      <c r="G7" s="8">
        <f>G6*前提!$G$26</f>
        <v/>
      </c>
      <c r="H7" s="7" t="inlineStr">
        <is>
          <t>実効税率30%［仮置き］。繰越欠損金の控除後</t>
        </is>
      </c>
    </row>
    <row r="9">
      <c r="A9" s="5" t="inlineStr">
        <is>
          <t>運転資本：制作（売掛−買掛）</t>
        </is>
      </c>
      <c r="B9" s="5" t="inlineStr"/>
      <c r="C9" s="8">
        <f>損益計算書!C4*前提!$C$27/365-(損益計算書!C4-損益計算書!C12)*前提!$C$28/365</f>
        <v/>
      </c>
      <c r="D9" s="8">
        <f>損益計算書!D4*前提!$D$27/365-(損益計算書!D4-損益計算書!D12)*前提!$D$28/365</f>
        <v/>
      </c>
      <c r="E9" s="8">
        <f>損益計算書!E4*前提!$E$27/365-(損益計算書!E4-損益計算書!E12)*前提!$E$28/365</f>
        <v/>
      </c>
      <c r="F9" s="8">
        <f>損益計算書!F4*前提!$F$27/365-(損益計算書!F4-損益計算書!F12)*前提!$F$28/365</f>
        <v/>
      </c>
      <c r="G9" s="8">
        <f>損益計算書!G4*前提!$G$27/365-(損益計算書!G4-損益計算書!G12)*前提!$G$28/365</f>
        <v/>
      </c>
      <c r="H9" s="7" t="inlineStr">
        <is>
          <t>制作は入金60日・支払30日なので、伸びるほど現金が先に出る</t>
        </is>
      </c>
    </row>
    <row r="10">
      <c r="A10" s="5" t="inlineStr">
        <is>
          <t>運転資本：ツール前受金（△）</t>
        </is>
      </c>
      <c r="B10" s="5" t="inlineStr"/>
      <c r="C10" s="8">
        <f>-損益計算書!C7*前提!$C$29/365</f>
        <v/>
      </c>
      <c r="D10" s="8">
        <f>-損益計算書!D7*前提!$D$29/365</f>
        <v/>
      </c>
      <c r="E10" s="8">
        <f>-損益計算書!E7*前提!$E$29/365</f>
        <v/>
      </c>
      <c r="F10" s="8">
        <f>-損益計算書!F7*前提!$F$29/365</f>
        <v/>
      </c>
      <c r="G10" s="8">
        <f>-損益計算書!G7*前提!$G$29/365</f>
        <v/>
      </c>
      <c r="H10" s="7" t="inlineStr">
        <is>
          <t>年額一括前受なので資金の source になる。月額課金にすると消える</t>
        </is>
      </c>
    </row>
    <row r="11">
      <c r="A11" s="4" t="inlineStr">
        <is>
          <t>運転資本 残高 計</t>
        </is>
      </c>
      <c r="B11" s="5" t="inlineStr"/>
      <c r="C11" s="23">
        <f>C9+C10</f>
        <v/>
      </c>
      <c r="D11" s="23">
        <f>D9+D10</f>
        <v/>
      </c>
      <c r="E11" s="23">
        <f>E9+E10</f>
        <v/>
      </c>
      <c r="F11" s="23">
        <f>F9+F10</f>
        <v/>
      </c>
      <c r="G11" s="23">
        <f>G9+G10</f>
        <v/>
      </c>
    </row>
    <row r="12">
      <c r="A12" s="5" t="inlineStr">
        <is>
          <t>運転資本の増減（△は流出）</t>
        </is>
      </c>
      <c r="B12" s="5" t="inlineStr"/>
      <c r="C12" s="8">
        <f>-C11</f>
        <v/>
      </c>
      <c r="D12" s="8">
        <f>-(D11-C11)</f>
        <v/>
      </c>
      <c r="E12" s="8">
        <f>-(E11-D11)</f>
        <v/>
      </c>
      <c r="F12" s="8">
        <f>-(F11-E11)</f>
        <v/>
      </c>
      <c r="G12" s="8">
        <f>-(G11-F11)</f>
        <v/>
      </c>
    </row>
    <row r="14">
      <c r="A14" s="4" t="inlineStr">
        <is>
          <t>営業キャッシュフロー</t>
        </is>
      </c>
      <c r="B14" s="5" t="inlineStr"/>
      <c r="C14" s="6">
        <f>C4-C7+C12</f>
        <v/>
      </c>
      <c r="D14" s="6">
        <f>D4-D7+D12</f>
        <v/>
      </c>
      <c r="E14" s="6">
        <f>E4-E7+E12</f>
        <v/>
      </c>
      <c r="F14" s="6">
        <f>F4-F7+F12</f>
        <v/>
      </c>
      <c r="G14" s="6">
        <f>G4-G7+G12</f>
        <v/>
      </c>
    </row>
    <row r="15">
      <c r="A15" s="5" t="inlineStr">
        <is>
          <t>投資キャッシュフロー</t>
        </is>
      </c>
      <c r="B15" s="5" t="inlineStr"/>
      <c r="C15" s="8">
        <f>-前提!$C$30</f>
        <v/>
      </c>
      <c r="D15" s="8">
        <f>-前提!$D$30</f>
        <v/>
      </c>
      <c r="E15" s="8">
        <f>-前提!$E$30</f>
        <v/>
      </c>
      <c r="F15" s="8">
        <f>-前提!$F$30</f>
        <v/>
      </c>
      <c r="G15" s="8">
        <f>-前提!$G$30</f>
        <v/>
      </c>
      <c r="H15" s="7" t="inlineStr">
        <is>
          <t>クラウドGPU前提のため自社設備を持たない</t>
        </is>
      </c>
    </row>
    <row r="16">
      <c r="A16" s="5" t="inlineStr">
        <is>
          <t xml:space="preserve">　調達：シード</t>
        </is>
      </c>
      <c r="B16" s="5" t="inlineStr"/>
      <c r="C16" s="8">
        <f>前提!$C$31</f>
        <v/>
      </c>
      <c r="D16" s="8">
        <f>前提!$D$31</f>
        <v/>
      </c>
      <c r="E16" s="8">
        <f>前提!$E$31</f>
        <v/>
      </c>
      <c r="F16" s="8">
        <f>前提!$F$31</f>
        <v/>
      </c>
      <c r="G16" s="8">
        <f>前提!$G$31</f>
        <v/>
      </c>
    </row>
    <row r="17">
      <c r="A17" s="5" t="inlineStr">
        <is>
          <t xml:space="preserve">　調達：シリーズA</t>
        </is>
      </c>
      <c r="B17" s="5" t="inlineStr"/>
      <c r="C17" s="8">
        <f>前提!$C$32</f>
        <v/>
      </c>
      <c r="D17" s="8">
        <f>前提!$D$32</f>
        <v/>
      </c>
      <c r="E17" s="8">
        <f>前提!$E$32</f>
        <v/>
      </c>
      <c r="F17" s="8">
        <f>前提!$F$32</f>
        <v/>
      </c>
      <c r="G17" s="8">
        <f>前提!$G$32</f>
        <v/>
      </c>
    </row>
    <row r="18">
      <c r="A18" s="5" t="inlineStr">
        <is>
          <t xml:space="preserve">　調達：借入</t>
        </is>
      </c>
      <c r="B18" s="5" t="inlineStr"/>
      <c r="C18" s="8">
        <f>前提!$C$33</f>
        <v/>
      </c>
      <c r="D18" s="8">
        <f>前提!$D$33</f>
        <v/>
      </c>
      <c r="E18" s="8">
        <f>前提!$E$33</f>
        <v/>
      </c>
      <c r="F18" s="8">
        <f>前提!$F$33</f>
        <v/>
      </c>
      <c r="G18" s="8">
        <f>前提!$G$33</f>
        <v/>
      </c>
      <c r="H18" s="7" t="inlineStr">
        <is>
          <t>借入はしない</t>
        </is>
      </c>
    </row>
    <row r="19">
      <c r="A19" s="4" t="inlineStr">
        <is>
          <t>財務キャッシュフロー</t>
        </is>
      </c>
      <c r="B19" s="5" t="inlineStr"/>
      <c r="C19" s="23">
        <f>C16+C17+C18</f>
        <v/>
      </c>
      <c r="D19" s="23">
        <f>D16+D17+D18</f>
        <v/>
      </c>
      <c r="E19" s="23">
        <f>E16+E17+E18</f>
        <v/>
      </c>
      <c r="F19" s="23">
        <f>F16+F17+F18</f>
        <v/>
      </c>
      <c r="G19" s="23">
        <f>G16+G17+G18</f>
        <v/>
      </c>
    </row>
    <row r="21">
      <c r="A21" s="4" t="inlineStr">
        <is>
          <t>当期キャッシュ増減</t>
        </is>
      </c>
      <c r="B21" s="5" t="inlineStr"/>
      <c r="C21" s="23">
        <f>C14+C15+C19</f>
        <v/>
      </c>
      <c r="D21" s="23">
        <f>D14+D15+D19</f>
        <v/>
      </c>
      <c r="E21" s="23">
        <f>E14+E15+E19</f>
        <v/>
      </c>
      <c r="F21" s="23">
        <f>F14+F15+F19</f>
        <v/>
      </c>
      <c r="G21" s="23">
        <f>G14+G15+G19</f>
        <v/>
      </c>
    </row>
    <row r="22">
      <c r="A22" s="4" t="inlineStr">
        <is>
          <t>期末キャッシュ残高</t>
        </is>
      </c>
      <c r="B22" s="5" t="inlineStr"/>
      <c r="C22" s="6">
        <f>C21</f>
        <v/>
      </c>
      <c r="D22" s="6">
        <f>C22+D21</f>
        <v/>
      </c>
      <c r="E22" s="6">
        <f>D22+E21</f>
        <v/>
      </c>
      <c r="F22" s="6">
        <f>E22+F21</f>
        <v/>
      </c>
      <c r="G22" s="6">
        <f>F22+G21</f>
        <v/>
      </c>
      <c r="H22" s="7" t="inlineStr">
        <is>
          <t>ここがマイナスになる期があってはいけない</t>
        </is>
      </c>
    </row>
    <row r="24">
      <c r="A24" s="5" t="inlineStr">
        <is>
          <t>月次バーン（平均）</t>
        </is>
      </c>
      <c r="B24" s="5" t="inlineStr"/>
      <c r="C24" s="8">
        <f>IF(C14&gt;=0,0,-C14/12)</f>
        <v/>
      </c>
      <c r="D24" s="8">
        <f>IF(D14&gt;=0,0,-D14/12)</f>
        <v/>
      </c>
      <c r="E24" s="8">
        <f>IF(E14&gt;=0,0,-E14/12)</f>
        <v/>
      </c>
      <c r="F24" s="8">
        <f>IF(F14&gt;=0,0,-F14/12)</f>
        <v/>
      </c>
      <c r="G24" s="8">
        <f>IF(G14&gt;=0,0,-G14/12)</f>
        <v/>
      </c>
    </row>
    <row r="25">
      <c r="A25" s="5" t="inlineStr">
        <is>
          <t>ランウェイ（ヶ月）</t>
        </is>
      </c>
      <c r="B25" s="5" t="inlineStr"/>
      <c r="C25" s="11">
        <f>IF(C24=0,"—",C22/C24)</f>
        <v/>
      </c>
      <c r="D25" s="11">
        <f>IF(D24=0,"—",D22/D24)</f>
        <v/>
      </c>
      <c r="E25" s="11">
        <f>IF(E24=0,"—",E22/E24)</f>
        <v/>
      </c>
      <c r="F25" s="11">
        <f>IF(F24=0,"—",F22/F24)</f>
        <v/>
      </c>
      <c r="G25" s="11">
        <f>IF(G24=0,"—",G22/G24)</f>
        <v/>
      </c>
      <c r="H25" s="7" t="inlineStr">
        <is>
          <t>期末残高 ÷ 月次バーン。黒字化後は「—」</t>
        </is>
      </c>
    </row>
    <row r="26">
      <c r="A26" s="5" t="inlineStr">
        <is>
          <t>（感応度）前受金ゼロなら期末残高</t>
        </is>
      </c>
      <c r="B26" s="5" t="inlineStr"/>
      <c r="C26" s="8">
        <f>C22+C10</f>
        <v/>
      </c>
      <c r="D26" s="8">
        <f>D22+D10</f>
        <v/>
      </c>
      <c r="E26" s="8">
        <f>E22+E10</f>
        <v/>
      </c>
      <c r="F26" s="8">
        <f>F22+F10</f>
        <v/>
      </c>
      <c r="G26" s="8">
        <f>G22+G10</f>
        <v/>
      </c>
      <c r="H26" s="7" t="inlineStr">
        <is>
          <t>ツールを月額課金にした場合。ここもプラスなら資金繰りは前受に依存していない</t>
        </is>
      </c>
    </row>
    <row r="28">
      <c r="A28" s="12" t="inlineStr">
        <is>
          <t>シード1.5億は何に使うか（1期の支出）</t>
        </is>
      </c>
    </row>
    <row r="29" ht="20" customHeight="1">
      <c r="A29" s="3" t="inlineStr">
        <is>
          <t>用途</t>
        </is>
      </c>
      <c r="B29" s="3" t="inlineStr"/>
      <c r="C29" s="3" t="inlineStr">
        <is>
          <t>金額</t>
        </is>
      </c>
      <c r="D29" s="3" t="inlineStr"/>
      <c r="E29" s="3" t="inlineStr"/>
      <c r="F29" s="3" t="inlineStr"/>
      <c r="G29" s="3" t="inlineStr"/>
      <c r="H29" s="3" t="inlineStr">
        <is>
          <t>内容</t>
        </is>
      </c>
    </row>
    <row r="30">
      <c r="A30" s="5" t="inlineStr">
        <is>
          <t>研究開発費</t>
        </is>
      </c>
      <c r="B30" s="5" t="inlineStr"/>
      <c r="C30" s="8">
        <f>損益計算書!C20</f>
        <v/>
      </c>
      <c r="H30" s="7" t="inlineStr">
        <is>
          <t>モデル開発・クラウドGPU・データ基盤。ここが事業の本体</t>
        </is>
      </c>
    </row>
    <row r="31">
      <c r="A31" s="5" t="inlineStr">
        <is>
          <t>人件費（社員6名）</t>
        </is>
      </c>
      <c r="B31" s="5" t="inlineStr"/>
      <c r="C31" s="8">
        <f>損益計算書!C19</f>
        <v/>
      </c>
      <c r="H31" s="7" t="inlineStr">
        <is>
          <t>経営1・モデル開発2・制作統括1・事業開発1・クリエイター統括1</t>
        </is>
      </c>
    </row>
    <row r="32">
      <c r="A32" s="5" t="inlineStr">
        <is>
          <t>制作原価</t>
        </is>
      </c>
      <c r="B32" s="5" t="inlineStr"/>
      <c r="C32" s="8">
        <f>損益計算書!C4-損益計算書!C12</f>
        <v/>
      </c>
      <c r="H32" s="7" t="inlineStr">
        <is>
          <t>中国クリエイターへの支払・業務委託ディレクション</t>
        </is>
      </c>
    </row>
    <row r="33">
      <c r="A33" s="5" t="inlineStr">
        <is>
          <t>獲得費</t>
        </is>
      </c>
      <c r="B33" s="5" t="inlineStr"/>
      <c r="C33" s="8">
        <f>損益計算書!C22</f>
        <v/>
      </c>
      <c r="H33" s="7" t="inlineStr">
        <is>
          <t>初期案件の獲得・C2C発注者の獲得</t>
        </is>
      </c>
    </row>
    <row r="34">
      <c r="A34" s="5" t="inlineStr">
        <is>
          <t>その他販管費</t>
        </is>
      </c>
      <c r="B34" s="5" t="inlineStr"/>
      <c r="C34" s="8">
        <f>損益計算書!C23</f>
        <v/>
      </c>
      <c r="H34" s="7" t="inlineStr">
        <is>
          <t>オフィス・SaaS・法務</t>
        </is>
      </c>
    </row>
    <row r="35">
      <c r="A35" s="4" t="inlineStr">
        <is>
          <t>1期の支出 計</t>
        </is>
      </c>
      <c r="B35" s="5" t="inlineStr"/>
      <c r="C35" s="23">
        <f>SUM(C30:C34)</f>
        <v/>
      </c>
    </row>
    <row r="36">
      <c r="A36" s="5" t="inlineStr">
        <is>
          <t>△ 1期の売上入金</t>
        </is>
      </c>
      <c r="B36" s="5" t="inlineStr"/>
      <c r="C36" s="8">
        <f>-損益計算書!C9</f>
        <v/>
      </c>
      <c r="H36" s="7" t="inlineStr">
        <is>
          <t>制作・C2Cの入金。売掛のずれは上の運転資本で調整</t>
        </is>
      </c>
    </row>
    <row r="37">
      <c r="A37" s="4" t="inlineStr">
        <is>
          <t>1期の正味所要資金</t>
        </is>
      </c>
      <c r="B37" s="5" t="inlineStr"/>
      <c r="C37" s="6">
        <f>C35+C36</f>
        <v/>
      </c>
    </row>
    <row r="38">
      <c r="A38" s="4" t="inlineStr">
        <is>
          <t>2期の正味所要資金</t>
        </is>
      </c>
      <c r="B38" s="5" t="inlineStr"/>
      <c r="C38" s="23">
        <f>-D14</f>
        <v/>
      </c>
      <c r="H38" s="25" t="inlineStr">
        <is>
          <t>シードだけでは2期を通せない。シリーズA3億は2期に必須</t>
        </is>
      </c>
    </row>
    <row r="40">
      <c r="A40" s="2" t="inlineStr">
        <is>
          <t>⚠ 3期は営業赤字だが、ツールの前受金が増えるため営業キャッシュフローは黒字になる。前受が無い（月額課金の）前提でも残高はプラスを保つ設計。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  <col width="20" customWidth="1" min="5" max="5"/>
    <col width="16" customWidth="1" min="6" max="6"/>
    <col width="48" customWidth="1" min="7" max="7"/>
  </cols>
  <sheetData>
    <row r="1">
      <c r="A1" s="1" t="inlineStr">
        <is>
          <t>AX倍率を変えると、5期の利益はどう動くか</t>
        </is>
      </c>
    </row>
    <row r="2">
      <c r="A2" s="2" t="inlineStr">
        <is>
          <t>AXは人数ではなく「1本あたりのディレクション時間」に効く。業務委託は成果物単位の支払なので、時間が1/4になれば単価も1/4になる。</t>
        </is>
      </c>
    </row>
    <row r="3" ht="20" customHeight="1">
      <c r="A3" s="3" t="inlineStr">
        <is>
          <t>AX倍率</t>
        </is>
      </c>
      <c r="B3" s="3" t="inlineStr">
        <is>
          <t>ディレクション費/本</t>
        </is>
      </c>
      <c r="C3" s="3" t="inlineStr">
        <is>
          <t>1本あたり原価</t>
        </is>
      </c>
      <c r="D3" s="3" t="inlineStr">
        <is>
          <t>制作の粗利率</t>
        </is>
      </c>
      <c r="E3" s="3" t="inlineStr">
        <is>
          <t>5期 営業利益(百万)</t>
        </is>
      </c>
      <c r="F3" s="3" t="inlineStr">
        <is>
          <t>営業利益率</t>
        </is>
      </c>
      <c r="G3" s="3" t="inlineStr">
        <is>
          <t>判定</t>
        </is>
      </c>
    </row>
    <row r="4">
      <c r="A4" s="26" t="n">
        <v>1</v>
      </c>
      <c r="B4" s="11">
        <f>前提!$G$8/A4</f>
        <v/>
      </c>
      <c r="C4" s="11">
        <f>前提!$G$7+B4+前提!$G$9+前提!$G$10</f>
        <v/>
      </c>
      <c r="D4" s="10">
        <f>1-C4/前提!$G$5</f>
        <v/>
      </c>
      <c r="E4" s="23">
        <f>損益計算書!$G$4*D4+損益計算書!$G$13+損益計算書!$G$14-損益計算書!$G$24</f>
        <v/>
      </c>
      <c r="F4" s="24">
        <f>E4/損益計算書!$G$9</f>
        <v/>
      </c>
      <c r="G4" s="7" t="inlineStr">
        <is>
          <t>AXなし。それでも黒字だが、投資家が払う倍率は付かない</t>
        </is>
      </c>
    </row>
    <row r="5">
      <c r="A5" s="26" t="n">
        <v>2</v>
      </c>
      <c r="B5" s="11">
        <f>前提!$G$8/A5</f>
        <v/>
      </c>
      <c r="C5" s="11">
        <f>前提!$G$7+B5+前提!$G$9+前提!$G$10</f>
        <v/>
      </c>
      <c r="D5" s="10">
        <f>1-C5/前提!$G$5</f>
        <v/>
      </c>
      <c r="E5" s="23">
        <f>損益計算書!$G$4*D5+損益計算書!$G$13+損益計算書!$G$14-損益計算書!$G$24</f>
        <v/>
      </c>
      <c r="F5" s="24">
        <f>E5/損益計算書!$G$9</f>
        <v/>
      </c>
      <c r="G5" s="7" t="inlineStr"/>
    </row>
    <row r="6">
      <c r="A6" s="26" t="n">
        <v>3</v>
      </c>
      <c r="B6" s="11">
        <f>前提!$G$8/A6</f>
        <v/>
      </c>
      <c r="C6" s="11">
        <f>前提!$G$7+B6+前提!$G$9+前提!$G$10</f>
        <v/>
      </c>
      <c r="D6" s="10">
        <f>1-C6/前提!$G$5</f>
        <v/>
      </c>
      <c r="E6" s="23">
        <f>損益計算書!$G$4*D6+損益計算書!$G$13+損益計算書!$G$14-損益計算書!$G$24</f>
        <v/>
      </c>
      <c r="F6" s="24">
        <f>E6/損益計算書!$G$9</f>
        <v/>
      </c>
      <c r="G6" s="25" t="inlineStr">
        <is>
          <t>◀ ここでも計画は成立する（本数を半減させた効果）</t>
        </is>
      </c>
    </row>
    <row r="7">
      <c r="A7" s="26" t="n">
        <v>4</v>
      </c>
      <c r="B7" s="11">
        <f>前提!$G$8/A7</f>
        <v/>
      </c>
      <c r="C7" s="11">
        <f>前提!$G$7+B7+前提!$G$9+前提!$G$10</f>
        <v/>
      </c>
      <c r="D7" s="10">
        <f>1-C7/前提!$G$5</f>
        <v/>
      </c>
      <c r="E7" s="23">
        <f>損益計算書!$G$4*D7+損益計算書!$G$13+損益計算書!$G$14-損益計算書!$G$24</f>
        <v/>
      </c>
      <c r="F7" s="24">
        <f>E7/損益計算書!$G$9</f>
        <v/>
      </c>
      <c r="G7" s="25" t="inlineStr">
        <is>
          <t>◀ 計画値</t>
        </is>
      </c>
    </row>
    <row r="8">
      <c r="A8" s="26" t="n">
        <v>5</v>
      </c>
      <c r="B8" s="11">
        <f>前提!$G$8/A8</f>
        <v/>
      </c>
      <c r="C8" s="11">
        <f>前提!$G$7+B8+前提!$G$9+前提!$G$10</f>
        <v/>
      </c>
      <c r="D8" s="10">
        <f>1-C8/前提!$G$5</f>
        <v/>
      </c>
      <c r="E8" s="23">
        <f>損益計算書!$G$4*D8+損益計算書!$G$13+損益計算書!$G$14-損益計算書!$G$24</f>
        <v/>
      </c>
      <c r="F8" s="24">
        <f>E8/損益計算書!$G$9</f>
        <v/>
      </c>
      <c r="G8" s="7" t="inlineStr">
        <is>
          <t>上振れ</t>
        </is>
      </c>
    </row>
    <row r="10">
      <c r="A10" s="2" t="inlineStr">
        <is>
          <t>AXは原価を下げる装置であり、利益率そのものを作る。浮いた分は研究開発に戻してAX倍率をさらに上げる。この循環が、競合に同じ年数を要求する。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30" customWidth="1" min="10" max="10"/>
  </cols>
  <sheetData>
    <row r="1">
      <c r="A1" s="1" t="inlineStr">
        <is>
          <t>株式シェアの推移（設立 → 上場）</t>
        </is>
      </c>
    </row>
    <row r="2">
      <c r="A2" s="2" t="inlineStr">
        <is>
          <t>出所は CAP_TABLE.md 第5章。J-KISS はポストマネー・キャップなので、転換時のシード持分は 調達額 ÷ キャップ。</t>
        </is>
      </c>
    </row>
    <row r="3" ht="20" customHeight="1">
      <c r="A3" s="3" t="inlineStr">
        <is>
          <t>項目</t>
        </is>
      </c>
      <c r="B3" s="3" t="inlineStr"/>
      <c r="C3" s="3" t="inlineStr">
        <is>
          <t>値</t>
        </is>
      </c>
      <c r="D3" s="3" t="inlineStr">
        <is>
          <t>単位</t>
        </is>
      </c>
      <c r="E3" s="3" t="inlineStr">
        <is>
          <t>区分</t>
        </is>
      </c>
      <c r="F3" s="3" t="inlineStr"/>
      <c r="G3" s="3" t="inlineStr"/>
      <c r="H3" s="3" t="inlineStr"/>
      <c r="I3" s="3" t="inlineStr"/>
      <c r="J3" s="3" t="inlineStr">
        <is>
          <t>備考</t>
        </is>
      </c>
    </row>
    <row r="4">
      <c r="A4" s="5" t="inlineStr">
        <is>
          <t>資本金</t>
        </is>
      </c>
      <c r="B4" s="5" t="inlineStr">
        <is>
          <t>資本金</t>
        </is>
      </c>
      <c r="C4" s="15" t="n">
        <v>800</v>
      </c>
      <c r="D4" s="16" t="inlineStr">
        <is>
          <t>万円</t>
        </is>
      </c>
      <c r="E4" s="16" t="inlineStr">
        <is>
          <t>確定</t>
        </is>
      </c>
      <c r="J4" s="7" t="inlineStr">
        <is>
          <t>代表個人が全額出資</t>
        </is>
      </c>
    </row>
    <row r="5">
      <c r="A5" s="5" t="inlineStr"/>
      <c r="B5" s="5" t="inlineStr">
        <is>
          <t>ESOP枠（設立時）</t>
        </is>
      </c>
      <c r="C5" s="19" t="n">
        <v>0.1</v>
      </c>
      <c r="D5" s="16" t="inlineStr">
        <is>
          <t>%</t>
        </is>
      </c>
      <c r="E5" s="16" t="inlineStr">
        <is>
          <t>計画</t>
        </is>
      </c>
      <c r="J5" s="7" t="inlineStr">
        <is>
          <t>後から作ると既存株主全員の希薄化になるので設立時に設計する</t>
        </is>
      </c>
    </row>
    <row r="6">
      <c r="A6" s="5" t="inlineStr"/>
      <c r="B6" s="5" t="inlineStr">
        <is>
          <t>J-KISS キャップ（ポストマネー）</t>
        </is>
      </c>
      <c r="C6" s="20" t="n">
        <v>6</v>
      </c>
      <c r="D6" s="16" t="inlineStr">
        <is>
          <t>億円</t>
        </is>
      </c>
      <c r="E6" s="16" t="inlineStr">
        <is>
          <t>確定</t>
        </is>
      </c>
      <c r="J6" s="7" t="inlineStr">
        <is>
          <t>交渉帯は6〜10億。低すぎるとシリーズAで一気に薄まる</t>
        </is>
      </c>
    </row>
    <row r="7">
      <c r="A7" s="5" t="inlineStr"/>
      <c r="B7" s="5" t="inlineStr">
        <is>
          <t>シード調達額</t>
        </is>
      </c>
      <c r="C7" s="20" t="n">
        <v>1.42</v>
      </c>
      <c r="D7" s="16" t="inlineStr">
        <is>
          <t>億円</t>
        </is>
      </c>
      <c r="E7" s="16" t="inlineStr">
        <is>
          <t>確定</t>
        </is>
      </c>
      <c r="J7" s="7" t="inlineStr">
        <is>
          <t>目標1.5億のうち0.08億は代表個人の直接出資</t>
        </is>
      </c>
    </row>
    <row r="8">
      <c r="A8" s="5" t="inlineStr"/>
      <c r="B8" s="5" t="inlineStr">
        <is>
          <t>ディスカウント</t>
        </is>
      </c>
      <c r="C8" s="19" t="n">
        <v>0.2</v>
      </c>
      <c r="D8" s="16" t="inlineStr">
        <is>
          <t>%</t>
        </is>
      </c>
      <c r="E8" s="16" t="inlineStr">
        <is>
          <t>確定</t>
        </is>
      </c>
      <c r="J8" s="7" t="inlineStr">
        <is>
          <t>キャップとの有利な方が適用される</t>
        </is>
      </c>
    </row>
    <row r="9">
      <c r="A9" s="5" t="inlineStr"/>
      <c r="B9" s="5" t="inlineStr">
        <is>
          <t>シリーズA ポストマネー評価</t>
        </is>
      </c>
      <c r="C9" s="20" t="n">
        <v>15</v>
      </c>
      <c r="D9" s="16" t="inlineStr">
        <is>
          <t>億円</t>
        </is>
      </c>
      <c r="E9" s="16" t="inlineStr">
        <is>
          <t>計画</t>
        </is>
      </c>
      <c r="J9" s="7" t="inlineStr">
        <is>
          <t>2028年（2期）</t>
        </is>
      </c>
    </row>
    <row r="10">
      <c r="A10" s="5" t="inlineStr"/>
      <c r="B10" s="5" t="inlineStr">
        <is>
          <t>シリーズA 調達額</t>
        </is>
      </c>
      <c r="C10" s="20" t="n">
        <v>3</v>
      </c>
      <c r="D10" s="16" t="inlineStr">
        <is>
          <t>億円</t>
        </is>
      </c>
      <c r="E10" s="16" t="inlineStr">
        <is>
          <t>計画</t>
        </is>
      </c>
      <c r="J10" s="7" t="inlineStr">
        <is>
          <t>これが無いと2期末に資金ショートする</t>
        </is>
      </c>
    </row>
    <row r="11">
      <c r="A11" s="5" t="inlineStr"/>
      <c r="B11" s="5" t="inlineStr">
        <is>
          <t>ESOP補充後の ESOP比率</t>
        </is>
      </c>
      <c r="C11" s="19" t="n">
        <v>0.099</v>
      </c>
      <c r="D11" s="16" t="inlineStr">
        <is>
          <t>%</t>
        </is>
      </c>
      <c r="E11" s="16" t="inlineStr">
        <is>
          <t>計画</t>
        </is>
      </c>
      <c r="J11" s="7" t="inlineStr">
        <is>
          <t>シリーズAで薄まった枠を戻す</t>
        </is>
      </c>
    </row>
    <row r="12">
      <c r="A12" s="5" t="inlineStr"/>
      <c r="B12" s="5" t="inlineStr">
        <is>
          <t>IPO 公募比率</t>
        </is>
      </c>
      <c r="C12" s="19" t="n">
        <v>0.2</v>
      </c>
      <c r="D12" s="16" t="inlineStr">
        <is>
          <t>%</t>
        </is>
      </c>
      <c r="E12" s="16" t="inlineStr">
        <is>
          <t>計画</t>
        </is>
      </c>
      <c r="J12" s="7" t="inlineStr">
        <is>
          <t>2031年。流通株式25%を満たすには要見直し（下表）</t>
        </is>
      </c>
    </row>
    <row r="13">
      <c r="B13" s="4" t="inlineStr">
        <is>
          <t>転換時のシード持分（シリーズA前）</t>
        </is>
      </c>
      <c r="C13" s="27">
        <f>C7/C6</f>
        <v/>
      </c>
      <c r="J13" s="7" t="inlineStr">
        <is>
          <t>ポストマネー・キャップなので 1.42億 ÷ 6億</t>
        </is>
      </c>
    </row>
    <row r="14">
      <c r="B14" s="4" t="inlineStr">
        <is>
          <t>シリーズA の持分</t>
        </is>
      </c>
      <c r="C14" s="27">
        <f>C10/C9</f>
        <v/>
      </c>
      <c r="J14" s="7" t="inlineStr">
        <is>
          <t>3億 ÷ post 15億</t>
        </is>
      </c>
    </row>
    <row r="16">
      <c r="A16" s="12" t="inlineStr">
        <is>
          <t>持分の推移</t>
        </is>
      </c>
    </row>
    <row r="17" ht="20" customHeight="1">
      <c r="A17" s="3" t="inlineStr">
        <is>
          <t>時期</t>
        </is>
      </c>
      <c r="B17" s="3" t="inlineStr">
        <is>
          <t>イベント</t>
        </is>
      </c>
      <c r="C17" s="3" t="inlineStr">
        <is>
          <t>金額</t>
        </is>
      </c>
      <c r="D17" s="3" t="inlineStr">
        <is>
          <t>創業者</t>
        </is>
      </c>
      <c r="E17" s="3" t="inlineStr">
        <is>
          <t>ESOP</t>
        </is>
      </c>
      <c r="F17" s="3" t="inlineStr">
        <is>
          <t>シード</t>
        </is>
      </c>
      <c r="G17" s="3" t="inlineStr">
        <is>
          <t>シリーズA</t>
        </is>
      </c>
      <c r="H17" s="3" t="inlineStr">
        <is>
          <t>公募</t>
        </is>
      </c>
      <c r="I17" s="3" t="inlineStr">
        <is>
          <t>合計</t>
        </is>
      </c>
      <c r="J17" s="3" t="inlineStr">
        <is>
          <t>経営権の判定</t>
        </is>
      </c>
    </row>
    <row r="18">
      <c r="A18" s="5" t="inlineStr">
        <is>
          <t>2026/10</t>
        </is>
      </c>
      <c r="B18" s="4" t="inlineStr">
        <is>
          <t>設立（資本金800万）</t>
        </is>
      </c>
      <c r="C18" s="28" t="inlineStr">
        <is>
          <t>—</t>
        </is>
      </c>
      <c r="D18" s="9">
        <f>1</f>
        <v/>
      </c>
      <c r="E18" s="10">
        <f>0</f>
        <v/>
      </c>
      <c r="F18" s="10">
        <f>0</f>
        <v/>
      </c>
      <c r="G18" s="10">
        <f>0</f>
        <v/>
      </c>
      <c r="H18" s="10">
        <f>0</f>
        <v/>
      </c>
      <c r="I18" s="29">
        <f>SUM(D18:H18)</f>
        <v/>
      </c>
      <c r="J18" s="5">
        <f>IF(D18&gt;0.5,"経営権あり（50%超）",IF(D18&gt;0.334,"拒否権あり（1/3超）","1/3割れ"))</f>
        <v/>
      </c>
    </row>
    <row r="19">
      <c r="A19" s="5" t="inlineStr">
        <is>
          <t>2026/10</t>
        </is>
      </c>
      <c r="B19" s="4" t="inlineStr">
        <is>
          <t>ESOP枠を設計</t>
        </is>
      </c>
      <c r="C19" s="28" t="inlineStr">
        <is>
          <t>—</t>
        </is>
      </c>
      <c r="D19" s="9">
        <f>D18*(1-$C$5)</f>
        <v/>
      </c>
      <c r="E19" s="10">
        <f>$C$5</f>
        <v/>
      </c>
      <c r="F19" s="10">
        <f>0</f>
        <v/>
      </c>
      <c r="G19" s="10">
        <f>0</f>
        <v/>
      </c>
      <c r="H19" s="10">
        <f>0</f>
        <v/>
      </c>
      <c r="I19" s="29">
        <f>SUM(D19:H19)</f>
        <v/>
      </c>
      <c r="J19" s="5">
        <f>IF(D19&gt;0.5,"経営権あり（50%超）",IF(D19&gt;0.334,"拒否権あり（1/3超）","1/3割れ"))</f>
        <v/>
      </c>
    </row>
    <row r="20">
      <c r="A20" s="5" t="inlineStr">
        <is>
          <t>2026/10</t>
        </is>
      </c>
      <c r="B20" s="4" t="inlineStr">
        <is>
          <t>J-KISS 発行（未転換）</t>
        </is>
      </c>
      <c r="C20" s="28" t="inlineStr">
        <is>
          <t>1.42億</t>
        </is>
      </c>
      <c r="D20" s="9">
        <f>D19</f>
        <v/>
      </c>
      <c r="E20" s="10">
        <f>E19</f>
        <v/>
      </c>
      <c r="F20" s="10">
        <f>0</f>
        <v/>
      </c>
      <c r="G20" s="10">
        <f>0</f>
        <v/>
      </c>
      <c r="H20" s="10">
        <f>0</f>
        <v/>
      </c>
      <c r="I20" s="29">
        <f>SUM(D20:H20)</f>
        <v/>
      </c>
      <c r="J20" s="5">
        <f>IF(D20&gt;0.5,"経営権あり（50%超）",IF(D20&gt;0.334,"拒否権あり（1/3超）","1/3割れ"))</f>
        <v/>
      </c>
    </row>
    <row r="21">
      <c r="A21" s="5" t="inlineStr">
        <is>
          <t>2028</t>
        </is>
      </c>
      <c r="B21" s="4" t="inlineStr">
        <is>
          <t>シリーズA ＋ J-KISS転換</t>
        </is>
      </c>
      <c r="C21" s="28" t="inlineStr">
        <is>
          <t>3億</t>
        </is>
      </c>
      <c r="D21" s="9">
        <f>D20*(1-$C$13)*(1-$C$14)</f>
        <v/>
      </c>
      <c r="E21" s="10">
        <f>E20*(1-$C$13)*(1-$C$14)</f>
        <v/>
      </c>
      <c r="F21" s="10">
        <f>$C$13*(1-$C$14)</f>
        <v/>
      </c>
      <c r="G21" s="10">
        <f>$C$14</f>
        <v/>
      </c>
      <c r="H21" s="10">
        <f>0</f>
        <v/>
      </c>
      <c r="I21" s="29">
        <f>SUM(D21:H21)</f>
        <v/>
      </c>
      <c r="J21" s="5">
        <f>IF(D21&gt;0.5,"経営権あり（50%超）",IF(D21&gt;0.334,"拒否権あり（1/3超）","1/3割れ"))</f>
        <v/>
      </c>
    </row>
    <row r="22">
      <c r="A22" s="5" t="inlineStr">
        <is>
          <t>2028</t>
        </is>
      </c>
      <c r="B22" s="4" t="inlineStr">
        <is>
          <t>ESOP補充</t>
        </is>
      </c>
      <c r="C22" s="28" t="inlineStr">
        <is>
          <t>—</t>
        </is>
      </c>
      <c r="D22" s="9">
        <f>D21*(1-$C$11)/(1-E21)</f>
        <v/>
      </c>
      <c r="E22" s="10">
        <f>$C$11</f>
        <v/>
      </c>
      <c r="F22" s="10">
        <f>F21*(1-$C$11)/(1-E21)</f>
        <v/>
      </c>
      <c r="G22" s="10">
        <f>G21*(1-$C$11)/(1-E21)</f>
        <v/>
      </c>
      <c r="H22" s="10">
        <f>0</f>
        <v/>
      </c>
      <c r="I22" s="29">
        <f>SUM(D22:H22)</f>
        <v/>
      </c>
      <c r="J22" s="5">
        <f>IF(D22&gt;0.5,"経営権あり（50%超）",IF(D22&gt;0.334,"拒否権あり（1/3超）","1/3割れ"))</f>
        <v/>
      </c>
    </row>
    <row r="23">
      <c r="A23" s="5" t="inlineStr">
        <is>
          <t>2031</t>
        </is>
      </c>
      <c r="B23" s="4" t="inlineStr">
        <is>
          <t>IPO 公募</t>
        </is>
      </c>
      <c r="C23" s="28" t="inlineStr">
        <is>
          <t>—</t>
        </is>
      </c>
      <c r="D23" s="9">
        <f>D22*(1-$C$12)</f>
        <v/>
      </c>
      <c r="E23" s="10">
        <f>E22*(1-$C$12)</f>
        <v/>
      </c>
      <c r="F23" s="10">
        <f>F22*(1-$C$12)</f>
        <v/>
      </c>
      <c r="G23" s="10">
        <f>G22*(1-$C$12)</f>
        <v/>
      </c>
      <c r="H23" s="10">
        <f>$C$12</f>
        <v/>
      </c>
      <c r="I23" s="29">
        <f>SUM(D23:H23)</f>
        <v/>
      </c>
      <c r="J23" s="5">
        <f>IF(D23&gt;0.5,"経営権あり（50%超）",IF(D23&gt;0.334,"拒否権あり（1/3超）","1/3割れ"))</f>
        <v/>
      </c>
    </row>
    <row r="24">
      <c r="B24" s="2" t="inlineStr">
        <is>
          <t>J-KISS は転換までは議決権が発生しない。1/3の線を踏まずに済むのが J-KISS を選ぶ理由のひとつ。</t>
        </is>
      </c>
    </row>
    <row r="26">
      <c r="A26" s="12" t="inlineStr">
        <is>
          <t>上場時の評価額</t>
        </is>
      </c>
    </row>
    <row r="27" ht="20" customHeight="1">
      <c r="A27" s="3" t="inlineStr">
        <is>
          <t>株主</t>
        </is>
      </c>
      <c r="B27" s="3" t="inlineStr">
        <is>
          <t>上場時持分</t>
        </is>
      </c>
      <c r="C27" s="3" t="inlineStr"/>
      <c r="D27" s="3" t="inlineStr">
        <is>
          <t>保守 348億</t>
        </is>
      </c>
      <c r="E27" s="3" t="inlineStr">
        <is>
          <t>中庸 419億</t>
        </is>
      </c>
      <c r="F27" s="3" t="inlineStr">
        <is>
          <t>強気 490億</t>
        </is>
      </c>
      <c r="G27" s="3" t="inlineStr"/>
      <c r="H27" s="3" t="inlineStr"/>
      <c r="I27" s="3" t="inlineStr"/>
      <c r="J27" s="3" t="inlineStr">
        <is>
          <t>備考</t>
        </is>
      </c>
    </row>
    <row r="28">
      <c r="A28" s="4" t="inlineStr">
        <is>
          <t>創業者</t>
        </is>
      </c>
      <c r="B28" s="24">
        <f>D23</f>
        <v/>
      </c>
      <c r="C28" s="5" t="inlineStr"/>
      <c r="D28" s="30">
        <f>B28*348</f>
        <v/>
      </c>
      <c r="E28" s="30">
        <f>B28*419</f>
        <v/>
      </c>
      <c r="F28" s="30">
        <f>B28*490</f>
        <v/>
      </c>
      <c r="J28" s="7" t="inlineStr">
        <is>
          <t>経営権は上場時に50%を割る。ただしシリーズA後も52.7%を維持できる</t>
        </is>
      </c>
    </row>
    <row r="29">
      <c r="A29" s="4" t="inlineStr">
        <is>
          <t>シード投資家</t>
        </is>
      </c>
      <c r="B29" s="24">
        <f>F23</f>
        <v/>
      </c>
      <c r="C29" s="5" t="inlineStr"/>
      <c r="D29" s="31">
        <f>B29*348</f>
        <v/>
      </c>
      <c r="E29" s="31">
        <f>B29*419</f>
        <v/>
      </c>
      <c r="F29" s="31">
        <f>B29*490</f>
        <v/>
      </c>
      <c r="J29" s="7" t="inlineStr">
        <is>
          <t>出資1.42億に対する取り分</t>
        </is>
      </c>
    </row>
    <row r="30">
      <c r="A30" s="4" t="inlineStr">
        <is>
          <t>シリーズA</t>
        </is>
      </c>
      <c r="B30" s="24">
        <f>G23</f>
        <v/>
      </c>
      <c r="C30" s="5" t="inlineStr"/>
      <c r="D30" s="30">
        <f>B30*348</f>
        <v/>
      </c>
      <c r="E30" s="30">
        <f>B30*419</f>
        <v/>
      </c>
      <c r="F30" s="30">
        <f>B30*490</f>
        <v/>
      </c>
      <c r="J30" s="7" t="inlineStr"/>
    </row>
    <row r="31">
      <c r="A31" s="4" t="inlineStr">
        <is>
          <t>ESOP</t>
        </is>
      </c>
      <c r="B31" s="24">
        <f>E23</f>
        <v/>
      </c>
      <c r="C31" s="5" t="inlineStr"/>
      <c r="D31" s="30">
        <f>B31*348</f>
        <v/>
      </c>
      <c r="E31" s="30">
        <f>B31*419</f>
        <v/>
      </c>
      <c r="F31" s="30">
        <f>B31*490</f>
        <v/>
      </c>
      <c r="J31" s="7" t="inlineStr">
        <is>
          <t>役員・従業員への配分枠</t>
        </is>
      </c>
    </row>
    <row r="32">
      <c r="A32" s="4" t="inlineStr">
        <is>
          <t>公募</t>
        </is>
      </c>
      <c r="B32" s="24">
        <f>H23</f>
        <v/>
      </c>
      <c r="C32" s="5" t="inlineStr"/>
      <c r="D32" s="30">
        <f>B32*348</f>
        <v/>
      </c>
      <c r="E32" s="30">
        <f>B32*419</f>
        <v/>
      </c>
      <c r="F32" s="30">
        <f>B32*490</f>
        <v/>
      </c>
      <c r="J32" s="7" t="inlineStr"/>
    </row>
    <row r="33">
      <c r="A33" s="2" t="inlineStr">
        <is>
          <t>単位は億円。時価総額は「資本政策とリターン」シートのライン別評価。</t>
        </is>
      </c>
    </row>
    <row r="35">
      <c r="A35" s="32" t="inlineStr">
        <is>
          <t>⚠ 流通株式比率 — このままでは基準25%を満たさない</t>
        </is>
      </c>
    </row>
    <row r="36" ht="20" customHeight="1">
      <c r="A36" s="3" t="inlineStr">
        <is>
          <t>株主</t>
        </is>
      </c>
      <c r="B36" s="3" t="inlineStr">
        <is>
          <t>上場時持分</t>
        </is>
      </c>
      <c r="C36" s="3" t="inlineStr"/>
      <c r="D36" s="3" t="inlineStr">
        <is>
          <t>流通株式への算入</t>
        </is>
      </c>
      <c r="E36" s="3" t="inlineStr"/>
      <c r="F36" s="3" t="inlineStr"/>
      <c r="G36" s="3" t="inlineStr"/>
      <c r="H36" s="3" t="inlineStr"/>
      <c r="I36" s="3" t="inlineStr"/>
      <c r="J36" s="3" t="inlineStr">
        <is>
          <t>理由</t>
        </is>
      </c>
    </row>
    <row r="37">
      <c r="A37" s="5" t="inlineStr">
        <is>
          <t>創業者（役員）</t>
        </is>
      </c>
      <c r="B37" s="10">
        <f>D23</f>
        <v/>
      </c>
      <c r="C37" s="5" t="inlineStr"/>
      <c r="D37" s="17" t="inlineStr">
        <is>
          <t>× 除外</t>
        </is>
      </c>
      <c r="J37" s="7" t="inlineStr">
        <is>
          <t>役員は除外</t>
        </is>
      </c>
    </row>
    <row r="38">
      <c r="A38" s="5" t="inlineStr">
        <is>
          <t>シード投資家</t>
        </is>
      </c>
      <c r="B38" s="10">
        <f>F23</f>
        <v/>
      </c>
      <c r="C38" s="5" t="inlineStr"/>
      <c r="D38" s="17" t="inlineStr">
        <is>
          <t>× 除外</t>
        </is>
      </c>
      <c r="J38" s="7" t="inlineStr">
        <is>
          <t>10%超のため除外</t>
        </is>
      </c>
    </row>
    <row r="39">
      <c r="A39" s="5" t="inlineStr">
        <is>
          <t>シリーズA</t>
        </is>
      </c>
      <c r="B39" s="10">
        <f>G23</f>
        <v/>
      </c>
      <c r="C39" s="5" t="inlineStr"/>
      <c r="D39" s="17" t="inlineStr">
        <is>
          <t>× 除外</t>
        </is>
      </c>
      <c r="J39" s="7" t="inlineStr">
        <is>
          <t>10%超のため除外</t>
        </is>
      </c>
    </row>
    <row r="40">
      <c r="A40" s="5" t="inlineStr">
        <is>
          <t>ESOP</t>
        </is>
      </c>
      <c r="B40" s="10">
        <f>E23</f>
        <v/>
      </c>
      <c r="C40" s="5" t="inlineStr"/>
      <c r="D40" s="17" t="inlineStr">
        <is>
          <t>× 除外</t>
        </is>
      </c>
      <c r="J40" s="7" t="inlineStr">
        <is>
          <t>役員・従業員分は除外</t>
        </is>
      </c>
    </row>
    <row r="41">
      <c r="A41" s="5" t="inlineStr">
        <is>
          <t>公募</t>
        </is>
      </c>
      <c r="B41" s="10">
        <f>H23</f>
        <v/>
      </c>
      <c r="C41" s="5" t="inlineStr"/>
      <c r="D41" s="16" t="inlineStr">
        <is>
          <t>○ 算入</t>
        </is>
      </c>
      <c r="J41" s="7" t="inlineStr">
        <is>
          <t>算入</t>
        </is>
      </c>
    </row>
    <row r="42">
      <c r="A42" s="4" t="inlineStr">
        <is>
          <t>流通株式比率</t>
        </is>
      </c>
      <c r="B42" s="33">
        <f>H23</f>
        <v/>
      </c>
      <c r="C42" s="5" t="inlineStr"/>
      <c r="D42" s="34">
        <f>B42-0.25</f>
        <v/>
      </c>
      <c r="J42" s="7" t="inlineStr">
        <is>
          <t>基準25%に対する過不足</t>
        </is>
      </c>
    </row>
    <row r="44">
      <c r="A44" s="2" t="inlineStr">
        <is>
          <t>手当て: ①公募を25%に引き上げる（創業者42.2%→39.5%）／②公募20%＋売出し5〜8%を併用（推奨）／③上場前にVC持分を10%未満へ分散。主幹事証券が決まる4期に確定させる論点。シードのタームシートに「上場時の売出しに協力する」条項を入れておくこと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  <col width="46" customWidth="1" min="9" max="9"/>
  </cols>
  <sheetData>
    <row r="1">
      <c r="A1" s="1" t="inlineStr">
        <is>
          <t>資本政策とシード投資家のリターン</t>
        </is>
      </c>
    </row>
    <row r="2">
      <c r="A2" s="2" t="inlineStr">
        <is>
          <t>⚠ 事業計画からの逆算であって、投資の推奨でも利回りの保証でもない。計画が達成された場合の数字。</t>
        </is>
      </c>
    </row>
    <row r="3" ht="20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>
        <is>
          <t>区分</t>
        </is>
      </c>
      <c r="E3" s="3" t="inlineStr"/>
      <c r="F3" s="3" t="inlineStr"/>
      <c r="G3" s="3" t="inlineStr"/>
      <c r="H3" s="3" t="inlineStr"/>
      <c r="I3" s="3" t="inlineStr">
        <is>
          <t>備考</t>
        </is>
      </c>
    </row>
    <row r="4">
      <c r="A4" s="5" t="inlineStr">
        <is>
          <t>J-KISS キャップ（ポストマネー）</t>
        </is>
      </c>
      <c r="B4" s="35">
        <f>'資本構成の推移'!C6</f>
        <v/>
      </c>
      <c r="C4" s="16" t="inlineStr">
        <is>
          <t>億円</t>
        </is>
      </c>
      <c r="D4" s="16" t="inlineStr">
        <is>
          <t>確定</t>
        </is>
      </c>
      <c r="I4" s="7" t="inlineStr">
        <is>
          <t>「資本構成の推移」シートの入力を参照</t>
        </is>
      </c>
    </row>
    <row r="5">
      <c r="A5" s="5" t="inlineStr">
        <is>
          <t>シード調達額</t>
        </is>
      </c>
      <c r="B5" s="35">
        <f>'資本構成の推移'!C7</f>
        <v/>
      </c>
      <c r="C5" s="16" t="inlineStr">
        <is>
          <t>億円</t>
        </is>
      </c>
      <c r="D5" s="16" t="inlineStr">
        <is>
          <t>確定</t>
        </is>
      </c>
      <c r="I5" s="7" t="inlineStr">
        <is>
          <t>目標1.5億のうち0.08億は代表個人が直接出資</t>
        </is>
      </c>
    </row>
    <row r="6">
      <c r="A6" s="5" t="inlineStr">
        <is>
          <t>転換時のシード持分</t>
        </is>
      </c>
      <c r="B6" s="27">
        <f>'資本構成の推移'!C13</f>
        <v/>
      </c>
      <c r="C6" s="16" t="inlineStr">
        <is>
          <t>%</t>
        </is>
      </c>
      <c r="D6" s="16" t="inlineStr">
        <is>
          <t>計算</t>
        </is>
      </c>
      <c r="I6" s="7" t="inlineStr">
        <is>
          <t>ポストマネー・キャップなので ＝ 調達額 ÷ キャップ</t>
        </is>
      </c>
    </row>
    <row r="7">
      <c r="A7" s="5" t="inlineStr">
        <is>
          <t>転換後の希薄化</t>
        </is>
      </c>
      <c r="B7" s="36">
        <f>B8/B6</f>
        <v/>
      </c>
      <c r="C7" s="16" t="inlineStr">
        <is>
          <t>倍</t>
        </is>
      </c>
      <c r="D7" s="16" t="inlineStr">
        <is>
          <t>計算</t>
        </is>
      </c>
      <c r="I7" s="7" t="inlineStr">
        <is>
          <t>シリーズA20% → ESOP補充 → IPO公募20% の積。推移シートから逆算</t>
        </is>
      </c>
    </row>
    <row r="8">
      <c r="A8" s="5" t="inlineStr">
        <is>
          <t>上場後のシード持分</t>
        </is>
      </c>
      <c r="B8" s="27">
        <f>'資本構成の推移'!F23</f>
        <v/>
      </c>
      <c r="C8" s="16" t="inlineStr">
        <is>
          <t>%</t>
        </is>
      </c>
      <c r="D8" s="16" t="inlineStr">
        <is>
          <t>計算</t>
        </is>
      </c>
      <c r="I8" s="7" t="inlineStr">
        <is>
          <t>CAP_TABLE.md 第5章</t>
        </is>
      </c>
    </row>
    <row r="9">
      <c r="A9" s="5" t="inlineStr">
        <is>
          <t>出資 → 上場</t>
        </is>
      </c>
      <c r="B9" s="20" t="n">
        <v>4.9</v>
      </c>
      <c r="C9" s="16" t="inlineStr">
        <is>
          <t>年</t>
        </is>
      </c>
      <c r="D9" s="16" t="inlineStr">
        <is>
          <t>計画</t>
        </is>
      </c>
      <c r="I9" s="7" t="inlineStr">
        <is>
          <t>2026年10月出資 → 2031年9月 東証グロース</t>
        </is>
      </c>
    </row>
    <row r="11">
      <c r="A11" s="12" t="inlineStr">
        <is>
          <t>① ライン別に倍率を分けた場合（証券会社が実際にやる見方）</t>
        </is>
      </c>
    </row>
    <row r="12" ht="20" customHeight="1">
      <c r="A12" s="3" t="inlineStr">
        <is>
          <t>ケース</t>
        </is>
      </c>
      <c r="B12" s="3" t="inlineStr">
        <is>
          <t>ツール倍率</t>
        </is>
      </c>
      <c r="C12" s="3" t="inlineStr">
        <is>
          <t>C2C倍率</t>
        </is>
      </c>
      <c r="D12" s="3" t="inlineStr">
        <is>
          <t>制作倍率</t>
        </is>
      </c>
      <c r="E12" s="3" t="inlineStr">
        <is>
          <t>時価総額(億)</t>
        </is>
      </c>
      <c r="F12" s="3" t="inlineStr">
        <is>
          <t>取り分(億)</t>
        </is>
      </c>
      <c r="G12" s="3" t="inlineStr">
        <is>
          <t>倍率</t>
        </is>
      </c>
      <c r="H12" s="3" t="inlineStr">
        <is>
          <t>IRR</t>
        </is>
      </c>
      <c r="I12" s="3" t="inlineStr">
        <is>
          <t>考え方</t>
        </is>
      </c>
    </row>
    <row r="13">
      <c r="A13" s="4" t="inlineStr">
        <is>
          <t>保守</t>
        </is>
      </c>
      <c r="B13" s="18" t="n">
        <v>6</v>
      </c>
      <c r="C13" s="18" t="n">
        <v>4</v>
      </c>
      <c r="D13" s="18" t="n">
        <v>1.5</v>
      </c>
      <c r="E13" s="21">
        <f>(損益計算書!$G$7*B13+損益計算書!$G$8*C13+損益計算書!$G$4*D13)/100</f>
        <v/>
      </c>
      <c r="F13" s="13">
        <f>E13*$B$8</f>
        <v/>
      </c>
      <c r="G13" s="37">
        <f>F13/$B$5</f>
        <v/>
      </c>
      <c r="H13" s="10">
        <f>G13^(1/$B$9)-1</f>
        <v/>
      </c>
      <c r="I13" s="7" t="inlineStr">
        <is>
          <t>人手に比例しない90%を根拠に、ツールへSaaS寄りの倍率を当てる</t>
        </is>
      </c>
    </row>
    <row r="14">
      <c r="A14" s="4" t="inlineStr">
        <is>
          <t>中庸</t>
        </is>
      </c>
      <c r="B14" s="18" t="n">
        <v>7</v>
      </c>
      <c r="C14" s="18" t="n">
        <v>5</v>
      </c>
      <c r="D14" s="18" t="n">
        <v>2</v>
      </c>
      <c r="E14" s="21">
        <f>(損益計算書!$G$7*B14+損益計算書!$G$8*C14+損益計算書!$G$4*D14)/100</f>
        <v/>
      </c>
      <c r="F14" s="13">
        <f>E14*$B$8</f>
        <v/>
      </c>
      <c r="G14" s="37">
        <f>F14/$B$5</f>
        <v/>
      </c>
      <c r="H14" s="10">
        <f>G14^(1/$B$9)-1</f>
        <v/>
      </c>
      <c r="I14" s="7" t="inlineStr"/>
    </row>
    <row r="15">
      <c r="A15" s="4" t="inlineStr">
        <is>
          <t>強気</t>
        </is>
      </c>
      <c r="B15" s="18" t="n">
        <v>8</v>
      </c>
      <c r="C15" s="18" t="n">
        <v>6</v>
      </c>
      <c r="D15" s="18" t="n">
        <v>2.5</v>
      </c>
      <c r="E15" s="21">
        <f>(損益計算書!$G$7*B15+損益計算書!$G$8*C15+損益計算書!$G$4*D15)/100</f>
        <v/>
      </c>
      <c r="F15" s="13">
        <f>E15*$B$8</f>
        <v/>
      </c>
      <c r="G15" s="37">
        <f>F15/$B$5</f>
        <v/>
      </c>
      <c r="H15" s="10">
        <f>G15^(1/$B$9)-1</f>
        <v/>
      </c>
      <c r="I15" s="7" t="inlineStr">
        <is>
          <t>Synthesia・HeyGenと同じ土俵に立てた場合</t>
        </is>
      </c>
    </row>
    <row r="17">
      <c r="A17" s="12" t="inlineStr">
        <is>
          <t>② 全社に PSR を当てた場合</t>
        </is>
      </c>
    </row>
    <row r="18" ht="20" customHeight="1">
      <c r="A18" s="3" t="inlineStr">
        <is>
          <t>ケース</t>
        </is>
      </c>
      <c r="B18" s="3" t="inlineStr">
        <is>
          <t>PSR</t>
        </is>
      </c>
      <c r="C18" s="3" t="inlineStr"/>
      <c r="D18" s="3" t="inlineStr"/>
      <c r="E18" s="3" t="inlineStr">
        <is>
          <t>時価総額(億)</t>
        </is>
      </c>
      <c r="F18" s="3" t="inlineStr">
        <is>
          <t>取り分(億)</t>
        </is>
      </c>
      <c r="G18" s="3" t="inlineStr">
        <is>
          <t>倍率</t>
        </is>
      </c>
      <c r="H18" s="3" t="inlineStr">
        <is>
          <t>IRR</t>
        </is>
      </c>
      <c r="I18" s="3" t="inlineStr">
        <is>
          <t>考え方</t>
        </is>
      </c>
    </row>
    <row r="19">
      <c r="A19" s="4" t="inlineStr">
        <is>
          <t>PSR 4倍</t>
        </is>
      </c>
      <c r="B19" s="18" t="n">
        <v>4</v>
      </c>
      <c r="C19" s="5" t="inlineStr"/>
      <c r="D19" s="5" t="inlineStr"/>
      <c r="E19" s="21">
        <f>損益計算書!$G$9*B19/100</f>
        <v/>
      </c>
      <c r="F19" s="13">
        <f>E19*$B$8</f>
        <v/>
      </c>
      <c r="G19" s="37">
        <f>F19/$B$5</f>
        <v/>
      </c>
      <c r="H19" s="10">
        <f>G19^(1/$B$9)-1</f>
        <v/>
      </c>
      <c r="I19" s="7" t="inlineStr">
        <is>
          <t>人手に比例しない収益が90%であることを根拠にする</t>
        </is>
      </c>
    </row>
    <row r="20">
      <c r="A20" s="4" t="inlineStr">
        <is>
          <t>PSR 5倍</t>
        </is>
      </c>
      <c r="B20" s="18" t="n">
        <v>5</v>
      </c>
      <c r="C20" s="5" t="inlineStr"/>
      <c r="D20" s="5" t="inlineStr"/>
      <c r="E20" s="21">
        <f>損益計算書!$G$9*B20/100</f>
        <v/>
      </c>
      <c r="F20" s="13">
        <f>E20*$B$8</f>
        <v/>
      </c>
      <c r="G20" s="37">
        <f>F20/$B$5</f>
        <v/>
      </c>
      <c r="H20" s="10">
        <f>G20^(1/$B$9)-1</f>
        <v/>
      </c>
      <c r="I20" s="7" t="inlineStr"/>
    </row>
    <row r="22">
      <c r="A22" s="2" t="inlineStr">
        <is>
          <t>⚠ 東証グロースの維持基準「上場5年経過後に時価総額100億円」に対し、保守ケースでも3倍以上のバッファ。ただし計画が達成された場合に限る。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30" customWidth="1" min="4" max="4"/>
    <col width="54" customWidth="1" min="5" max="5"/>
  </cols>
  <sheetData>
    <row r="1">
      <c r="A1" s="1" t="inlineStr">
        <is>
          <t>実在企業と並べる（5期の当社）</t>
        </is>
      </c>
    </row>
    <row r="2">
      <c r="A2" s="2" t="inlineStr">
        <is>
          <t>⚠ 世界の「映像制作会社ランキング」は存在しない。大手広告グループは制作事業を分離開示しないため、比較できるのは開示のある会社に限られる。</t>
        </is>
      </c>
    </row>
    <row r="3" ht="20" customHeight="1">
      <c r="A3" s="3" t="inlineStr">
        <is>
          <t>会社</t>
        </is>
      </c>
      <c r="B3" s="3" t="inlineStr">
        <is>
          <t>売上(億円)</t>
        </is>
      </c>
      <c r="C3" s="3" t="inlineStr">
        <is>
          <t>区分</t>
        </is>
      </c>
      <c r="D3" s="3" t="inlineStr">
        <is>
          <t>決算期・出所</t>
        </is>
      </c>
      <c r="E3" s="3" t="inlineStr">
        <is>
          <t>備考</t>
        </is>
      </c>
    </row>
    <row r="4">
      <c r="A4" s="5" t="inlineStr">
        <is>
          <t>東映</t>
        </is>
      </c>
      <c r="B4" s="8" t="n">
        <v>1853</v>
      </c>
      <c r="C4" s="5" t="inlineStr">
        <is>
          <t>映画・映像製作</t>
        </is>
      </c>
      <c r="D4" s="7" t="inlineStr">
        <is>
          <t>2026/3期</t>
        </is>
      </c>
      <c r="E4" s="7" t="inlineStr">
        <is>
          <t>国内最大。劇場・テレビ・版権</t>
        </is>
      </c>
    </row>
    <row r="5">
      <c r="A5" s="5" t="inlineStr">
        <is>
          <t>IMAGICA GROUP</t>
        </is>
      </c>
      <c r="B5" s="8" t="n">
        <v>1000</v>
      </c>
      <c r="C5" s="5" t="inlineStr">
        <is>
          <t>ポスプロ・映像技術</t>
        </is>
      </c>
      <c r="D5" s="7" t="inlineStr">
        <is>
          <t>2026/3期（Q1 222億からの推計）</t>
        </is>
      </c>
      <c r="E5" s="7" t="inlineStr">
        <is>
          <t>推計値</t>
        </is>
      </c>
    </row>
    <row r="6">
      <c r="A6" s="5" t="inlineStr">
        <is>
          <t>東映アニメーション</t>
        </is>
      </c>
      <c r="B6" s="8" t="n">
        <v>937</v>
      </c>
      <c r="C6" s="5" t="inlineStr">
        <is>
          <t>アニメ製作</t>
        </is>
      </c>
      <c r="D6" s="7" t="inlineStr">
        <is>
          <t>2026/3期</t>
        </is>
      </c>
      <c r="E6" s="7" t="inlineStr"/>
    </row>
    <row r="7">
      <c r="A7" s="5" t="inlineStr">
        <is>
          <t>AOI TYO Holdings</t>
        </is>
      </c>
      <c r="B7" s="8" t="n">
        <v>511</v>
      </c>
      <c r="C7" s="5" t="inlineStr">
        <is>
          <t>広告・企業映像</t>
        </is>
      </c>
      <c r="D7" s="7" t="inlineStr">
        <is>
          <t>2020/12期</t>
        </is>
      </c>
      <c r="E7" s="7" t="inlineStr">
        <is>
          <t>その後 非公開化</t>
        </is>
      </c>
    </row>
    <row r="8">
      <c r="A8" s="5" t="inlineStr">
        <is>
          <t>東北新社</t>
        </is>
      </c>
      <c r="B8" s="8" t="n">
        <v>477</v>
      </c>
      <c r="C8" s="5" t="inlineStr">
        <is>
          <t>広告・企業映像</t>
        </is>
      </c>
      <c r="D8" s="7" t="inlineStr">
        <is>
          <t>2026/3期</t>
        </is>
      </c>
      <c r="E8" s="7" t="inlineStr">
        <is>
          <t>当社①制作33.6億の比較対象</t>
        </is>
      </c>
    </row>
    <row r="9">
      <c r="A9" s="5" t="inlineStr">
        <is>
          <t>HeyGen</t>
        </is>
      </c>
      <c r="B9" s="8" t="n">
        <v>300</v>
      </c>
      <c r="C9" s="5" t="inlineStr">
        <is>
          <t>AI動画・ARR</t>
        </is>
      </c>
      <c r="D9" s="7" t="inlineStr">
        <is>
          <t>$200M（1ドル150円換算）</t>
        </is>
      </c>
      <c r="E9" s="7" t="inlineStr">
        <is>
          <t>$100M→$200M を8ヶ月</t>
        </is>
      </c>
    </row>
    <row r="10">
      <c r="A10" s="5" t="inlineStr">
        <is>
          <t>Synthesia</t>
        </is>
      </c>
      <c r="B10" s="8" t="n">
        <v>210</v>
      </c>
      <c r="C10" s="5" t="inlineStr">
        <is>
          <t>AI動画・ARR</t>
        </is>
      </c>
      <c r="D10" s="7" t="inlineStr">
        <is>
          <t>$140M（1ドル150円換算）</t>
        </is>
      </c>
      <c r="E10" s="7" t="inlineStr">
        <is>
          <t>当社②ツール39.6億の比較対象</t>
        </is>
      </c>
    </row>
    <row r="11">
      <c r="A11" s="5" t="inlineStr">
        <is>
          <t>IG Port</t>
        </is>
      </c>
      <c r="B11" s="8" t="n">
        <v>141</v>
      </c>
      <c r="C11" s="5" t="inlineStr">
        <is>
          <t>アニメ製作</t>
        </is>
      </c>
      <c r="D11" s="7" t="inlineStr">
        <is>
          <t>2026/5期</t>
        </is>
      </c>
      <c r="E11" s="7" t="inlineStr"/>
    </row>
    <row r="12">
      <c r="A12" s="5" t="inlineStr">
        <is>
          <t>Runway</t>
        </is>
      </c>
      <c r="B12" s="28" t="inlineStr">
        <is>
          <t>非開示</t>
        </is>
      </c>
      <c r="C12" s="5" t="inlineStr">
        <is>
          <t>AI動画</t>
        </is>
      </c>
      <c r="D12" s="7" t="inlineStr">
        <is>
          <t>非開示</t>
        </is>
      </c>
      <c r="E12" s="7" t="inlineStr">
        <is>
          <t>売上を公表していない</t>
        </is>
      </c>
    </row>
    <row r="13">
      <c r="A13" s="5" t="inlineStr">
        <is>
          <t>Technicolor</t>
        </is>
      </c>
      <c r="B13" s="28" t="inlineStr">
        <is>
          <t>非開示</t>
        </is>
      </c>
      <c r="C13" s="5" t="inlineStr">
        <is>
          <t>VFX・ポスプロ</t>
        </is>
      </c>
      <c r="D13" s="7" t="inlineStr">
        <is>
          <t>2026年 経営破綻</t>
        </is>
      </c>
      <c r="E13" s="7" t="inlineStr">
        <is>
          <t>上場していた制作会社は消えつつある</t>
        </is>
      </c>
    </row>
    <row r="14">
      <c r="A14" s="25" t="inlineStr">
        <is>
          <t>【当社 5期（2031年）】</t>
        </is>
      </c>
      <c r="B14" s="38">
        <f>損益計算書!$G$9/100</f>
        <v/>
      </c>
      <c r="C14" s="25" t="inlineStr">
        <is>
          <t>①制作＋②ツール＋③C2C</t>
        </is>
      </c>
      <c r="D14" s="7" t="inlineStr">
        <is>
          <t>本計画</t>
        </is>
      </c>
      <c r="E14" s="7" t="inlineStr">
        <is>
          <t>東北新社477億の約18%。うち①制作は33.6億（同7%）</t>
        </is>
      </c>
    </row>
    <row r="16">
      <c r="A16" s="12" t="inlineStr">
        <is>
          <t>① 制作 ÷ 東北新社</t>
        </is>
      </c>
      <c r="B16" s="10">
        <f>損益計算書!$G$4/100/477</f>
        <v/>
      </c>
    </row>
    <row r="17">
      <c r="A17" s="12" t="inlineStr">
        <is>
          <t>② ツール ÷ Synthesia</t>
        </is>
      </c>
      <c r="B17" s="10">
        <f>損益計算書!$G$7/100/210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64" customWidth="1" min="4" max="4"/>
  </cols>
  <sheetData>
    <row r="1">
      <c r="A1" s="1" t="inlineStr">
        <is>
          <t>数字の出所と、［仮置き］の一覧</t>
        </is>
      </c>
    </row>
    <row r="2">
      <c r="A2" s="2" t="inlineStr">
        <is>
          <t>投資家に聞かれて最初に困るのがここ。実測値と仮置きを混ぜないこと。</t>
        </is>
      </c>
    </row>
    <row r="3" ht="20" customHeight="1">
      <c r="A3" s="3" t="inlineStr">
        <is>
          <t>項目</t>
        </is>
      </c>
      <c r="B3" s="3" t="inlineStr">
        <is>
          <t>値</t>
        </is>
      </c>
      <c r="C3" s="3" t="inlineStr">
        <is>
          <t>区分</t>
        </is>
      </c>
      <c r="D3" s="3" t="inlineStr">
        <is>
          <t>出所・根拠</t>
        </is>
      </c>
    </row>
    <row r="4">
      <c r="A4" s="5" t="inlineStr">
        <is>
          <t>国内 映像制作市場</t>
        </is>
      </c>
      <c r="B4" s="28" t="inlineStr">
        <is>
          <t>4,580億円</t>
        </is>
      </c>
      <c r="C4" s="16" t="inlineStr">
        <is>
          <t>実測</t>
        </is>
      </c>
      <c r="D4" s="7" t="inlineStr">
        <is>
          <t>矢野経済研究所（BtoB映像制作）。動画コンテンツ市場6,300億とは別枠</t>
        </is>
      </c>
    </row>
    <row r="5">
      <c r="A5" s="5" t="inlineStr">
        <is>
          <t>制作費の相場帯</t>
        </is>
      </c>
      <c r="B5" s="28" t="inlineStr">
        <is>
          <t>10〜500万円/本</t>
        </is>
      </c>
      <c r="C5" s="16" t="inlineStr">
        <is>
          <t>実測</t>
        </is>
      </c>
      <c r="D5" s="7" t="inlineStr">
        <is>
          <t>動画幹事・ムビサク（用途別の制作費相場）</t>
        </is>
      </c>
    </row>
    <row r="6">
      <c r="A6" s="5" t="inlineStr">
        <is>
          <t>AI導入による削減率</t>
        </is>
      </c>
      <c r="B6" s="28" t="inlineStr">
        <is>
          <t>▲50〜90%</t>
        </is>
      </c>
      <c r="C6" s="16" t="inlineStr">
        <is>
          <t>当社試算</t>
        </is>
      </c>
      <c r="D6" s="7" t="inlineStr">
        <is>
          <t>工程別削減率（企画▲50・撮影▲80・機材▲80・出演▲90・編集▲50・諸経費▲30）を費用構成に当てたもの</t>
        </is>
      </c>
    </row>
    <row r="7">
      <c r="A7" s="5" t="inlineStr">
        <is>
          <t>東証グロース 上場維持基準</t>
        </is>
      </c>
      <c r="B7" s="28" t="inlineStr">
        <is>
          <t>5年経過後 時価総額100億円</t>
        </is>
      </c>
      <c r="C7" s="16" t="inlineStr">
        <is>
          <t>実測</t>
        </is>
      </c>
      <c r="D7" s="7" t="inlineStr">
        <is>
          <t>日本取引所グループ。上場基準は改定が続くため準備期に再確認する</t>
        </is>
      </c>
    </row>
    <row r="8">
      <c r="A8" s="5" t="inlineStr">
        <is>
          <t>ベンチマーク各社の売上</t>
        </is>
      </c>
      <c r="B8" s="28" t="inlineStr">
        <is>
          <t>「業界ベンチマーク」シート</t>
        </is>
      </c>
      <c r="C8" s="16" t="inlineStr">
        <is>
          <t>実測</t>
        </is>
      </c>
      <c r="D8" s="7" t="inlineStr">
        <is>
          <t>各社の有価証券報告書・決算短信。ARRは各社公表値、1ドル150円換算</t>
        </is>
      </c>
    </row>
    <row r="9">
      <c r="A9" s="5" t="inlineStr">
        <is>
          <t>スキルシェア市場の映像比率</t>
        </is>
      </c>
      <c r="B9" s="28" t="inlineStr">
        <is>
          <t>非公表</t>
        </is>
      </c>
      <c r="C9" s="17" t="inlineStr">
        <is>
          <t>確認不能</t>
        </is>
      </c>
      <c r="D9" s="7" t="inlineStr">
        <is>
          <t>ココナラ決算・矢野経済のいずれも映像分野を分離開示していない</t>
        </is>
      </c>
    </row>
    <row r="10">
      <c r="A10" s="4" t="inlineStr">
        <is>
          <t>──────────</t>
        </is>
      </c>
      <c r="B10" s="28" t="inlineStr"/>
      <c r="C10" s="16" t="inlineStr"/>
      <c r="D10" s="7" t="inlineStr"/>
    </row>
    <row r="11">
      <c r="A11" s="5" t="inlineStr">
        <is>
          <t>AX倍率</t>
        </is>
      </c>
      <c r="B11" s="28" t="inlineStr">
        <is>
          <t>1.0 → 4.0倍</t>
        </is>
      </c>
      <c r="C11" s="17" t="inlineStr">
        <is>
          <t>［仮置き］</t>
        </is>
      </c>
      <c r="D11" s="7" t="inlineStr">
        <is>
          <t>未実証。計画の最重要前提。3倍でも営業利益率23.3%で成立することを確認済み</t>
        </is>
      </c>
    </row>
    <row r="12">
      <c r="A12" s="5" t="inlineStr">
        <is>
          <t>受注本数カーブ</t>
        </is>
      </c>
      <c r="B12" s="28" t="inlineStr">
        <is>
          <t>54 → 5,594本</t>
        </is>
      </c>
      <c r="C12" s="17" t="inlineStr">
        <is>
          <t>［仮置き］</t>
        </is>
      </c>
      <c r="D12" s="7" t="inlineStr">
        <is>
          <t>5期でSAMの1.5%。市場が制約ではなく、作る人が制約</t>
        </is>
      </c>
    </row>
    <row r="13">
      <c r="A13" s="5" t="inlineStr">
        <is>
          <t>1本あたり原価の内訳</t>
        </is>
      </c>
      <c r="B13" s="28" t="inlineStr">
        <is>
          <t>20.5万円（AX4倍時）</t>
        </is>
      </c>
      <c r="C13" s="17" t="inlineStr">
        <is>
          <t>［仮置き］</t>
        </is>
      </c>
      <c r="D13" s="7" t="inlineStr">
        <is>
          <t>中国クリエイター12＋ディレクション5＋ツール2＋バッファ1.5</t>
        </is>
      </c>
    </row>
    <row r="14">
      <c r="A14" s="5" t="inlineStr">
        <is>
          <t>ツール外販の契約数</t>
        </is>
      </c>
      <c r="B14" s="28" t="inlineStr">
        <is>
          <t>法人600社／個人17,000人</t>
        </is>
      </c>
      <c r="C14" s="17" t="inlineStr">
        <is>
          <t>［仮置き］</t>
        </is>
      </c>
      <c r="D14" s="7" t="inlineStr">
        <is>
          <t>国内の制作会社だけでは届かない。海外展開が前提</t>
        </is>
      </c>
    </row>
    <row r="15">
      <c r="A15" s="5" t="inlineStr">
        <is>
          <t>C2C の GMV</t>
        </is>
      </c>
      <c r="B15" s="28" t="inlineStr">
        <is>
          <t>83億円</t>
        </is>
      </c>
      <c r="C15" s="17" t="inlineStr">
        <is>
          <t>［仮置き］</t>
        </is>
      </c>
      <c r="D15" s="7" t="inlineStr">
        <is>
          <t>ココナラの流通高に迫る規模。自動化が効いていることが前提</t>
        </is>
      </c>
    </row>
    <row r="16">
      <c r="A16" s="5" t="inlineStr">
        <is>
          <t>手数料率</t>
        </is>
      </c>
      <c r="B16" s="28" t="inlineStr">
        <is>
          <t>18%</t>
        </is>
      </c>
      <c r="C16" s="17" t="inlineStr">
        <is>
          <t>［仮置き］</t>
        </is>
      </c>
      <c r="D16" s="7" t="inlineStr">
        <is>
          <t>収納代行型。資金決済法の該当性は弁護士に確認中</t>
        </is>
      </c>
    </row>
    <row r="17">
      <c r="A17" s="5" t="inlineStr">
        <is>
          <t>研究開発費</t>
        </is>
      </c>
      <c r="B17" s="28" t="inlineStr">
        <is>
          <t>5期 16億</t>
        </is>
      </c>
      <c r="C17" s="17" t="inlineStr">
        <is>
          <t>［仮置き］</t>
        </is>
      </c>
      <c r="D17" s="7" t="inlineStr">
        <is>
          <t>クラウドGPU・ライセンス・データ基盤</t>
        </is>
      </c>
    </row>
    <row r="18">
      <c r="A18" s="5" t="inlineStr">
        <is>
          <t>実効税率</t>
        </is>
      </c>
      <c r="B18" s="28" t="inlineStr">
        <is>
          <t>30%</t>
        </is>
      </c>
      <c r="C18" s="17" t="inlineStr">
        <is>
          <t>［仮置き］</t>
        </is>
      </c>
      <c r="D18" s="7" t="inlineStr">
        <is>
          <t>繰越欠損金の控除後に適用。税理士に確認する</t>
        </is>
      </c>
    </row>
    <row r="19">
      <c r="A19" s="5" t="inlineStr">
        <is>
          <t>入金・支払サイト</t>
        </is>
      </c>
      <c r="B19" s="28" t="inlineStr">
        <is>
          <t>売掛60日／買掛30日</t>
        </is>
      </c>
      <c r="C19" s="17" t="inlineStr">
        <is>
          <t>［仮置き］</t>
        </is>
      </c>
      <c r="D19" s="7" t="inlineStr">
        <is>
          <t>契約前。ここが延びると資金繰りに直撃する</t>
        </is>
      </c>
    </row>
    <row r="20">
      <c r="A20" s="5" t="inlineStr">
        <is>
          <t>ツール外販の前受期間</t>
        </is>
      </c>
      <c r="B20" s="28" t="inlineStr">
        <is>
          <t>180日</t>
        </is>
      </c>
      <c r="C20" s="17" t="inlineStr">
        <is>
          <t>［仮置き］</t>
        </is>
      </c>
      <c r="D20" s="7" t="inlineStr">
        <is>
          <t>年額一括前受の平均残高。月額課金にすると0日になり、資金計画が変わる</t>
        </is>
      </c>
    </row>
    <row r="21">
      <c r="A21" s="5" t="inlineStr">
        <is>
          <t>J-KISS キャップ</t>
        </is>
      </c>
      <c r="B21" s="28" t="inlineStr">
        <is>
          <t>6億円（ポストマネー）</t>
        </is>
      </c>
      <c r="C21" s="16" t="inlineStr">
        <is>
          <t>確定</t>
        </is>
      </c>
      <c r="D21" s="7" t="inlineStr">
        <is>
          <t>CAP_TABLE.md 第4章。交渉帯6〜10億。転換時のシード持分は 1.42÷6＝23.7%</t>
        </is>
      </c>
    </row>
    <row r="22">
      <c r="A22" s="5" t="inlineStr">
        <is>
          <t>シリーズA の評価</t>
        </is>
      </c>
      <c r="B22" s="28" t="inlineStr">
        <is>
          <t>post 15億・調達3億</t>
        </is>
      </c>
      <c r="C22" s="16" t="inlineStr">
        <is>
          <t>計画</t>
        </is>
      </c>
      <c r="D22" s="7" t="inlineStr">
        <is>
          <t>CAP_TABLE.md 第5章。未交渉。ここが下がると創業者持分も薄まる</t>
        </is>
      </c>
    </row>
    <row r="23">
      <c r="A23" s="5" t="inlineStr">
        <is>
          <t>ESOP枠</t>
        </is>
      </c>
      <c r="B23" s="28" t="inlineStr">
        <is>
          <t>設立時10% → 補充後9.9%</t>
        </is>
      </c>
      <c r="C23" s="16" t="inlineStr">
        <is>
          <t>計画</t>
        </is>
      </c>
      <c r="D23" s="7" t="inlineStr">
        <is>
          <t>税制適格SOの要件は設立時に確認する</t>
        </is>
      </c>
    </row>
    <row r="24">
      <c r="A24" s="5" t="inlineStr">
        <is>
          <t>IPO 公募比率</t>
        </is>
      </c>
      <c r="B24" s="28" t="inlineStr">
        <is>
          <t>20%</t>
        </is>
      </c>
      <c r="C24" s="16" t="inlineStr">
        <is>
          <t>計画</t>
        </is>
      </c>
      <c r="D24" s="7" t="inlineStr">
        <is>
          <t>このままでは流通株式比率が20%で、基準25%に5ポイント不足。4期に主幹事と確定させる</t>
        </is>
      </c>
    </row>
    <row r="25">
      <c r="A25" s="5" t="inlineStr">
        <is>
          <t>中国の映像制作パートナー</t>
        </is>
      </c>
      <c r="B25" s="28" t="inlineStr">
        <is>
          <t>社名 ［記入予定］</t>
        </is>
      </c>
      <c r="C25" s="17" t="inlineStr">
        <is>
          <t>未確定</t>
        </is>
      </c>
      <c r="D25" s="7" t="inlineStr">
        <is>
          <t>契約前。権利は日本側に帰属する設計</t>
        </is>
      </c>
    </row>
    <row r="26">
      <c r="A26" s="5" t="inlineStr">
        <is>
          <t>業務委託の契約設計</t>
        </is>
      </c>
      <c r="B26" s="28" t="inlineStr">
        <is>
          <t>─</t>
        </is>
      </c>
      <c r="C26" s="17" t="inlineStr">
        <is>
          <t>未着手</t>
        </is>
      </c>
      <c r="D26" s="7" t="inlineStr">
        <is>
          <t>偽装請負と読まれない設計が必要。1年目に弁護士と作成する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2026-09-22T15:28:41Z</dcterms:created>
  <dcterms:modified xmlns:dcterms="http://purl.org/dc/terms/" xmlns:xsi="http://www.w3.org/2001/XMLSchema-instance" xsi:type="dcterms:W3CDTF">2026-09-22T15:28:41Z</dcterms:modified>
</cp:coreProperties>
</file>